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ASA\AppData\Local\Packages\5319275A.WhatsAppDesktop_cv1g1gvanyjgm\LocalState\sessions\715C4A47D508C8D6AA4CF54B8209ED9DFBB5C66B\transfers\2026-37\"/>
    </mc:Choice>
  </mc:AlternateContent>
  <bookViews>
    <workbookView xWindow="0" yWindow="0" windowWidth="28800" windowHeight="11910" activeTab="2"/>
  </bookViews>
  <sheets>
    <sheet name="Hoja2 (2)" sheetId="4" r:id="rId1"/>
    <sheet name="Hoja2 (19)" sheetId="24" r:id="rId2"/>
    <sheet name="COTIZACION MOTOR" sheetId="20" r:id="rId3"/>
  </sheets>
  <definedNames>
    <definedName name="_Hlk192102434" localSheetId="2">'COTIZACION MOTOR'!$H$1</definedName>
    <definedName name="_Hlk192102434" localSheetId="1">'Hoja2 (19)'!$H$1</definedName>
    <definedName name="_Hlk192102434" localSheetId="0">'Hoja2 (2)'!$H$1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0" l="1"/>
  <c r="H39" i="20"/>
  <c r="H40" i="20" s="1"/>
  <c r="H56" i="20"/>
  <c r="H55" i="20"/>
  <c r="H54" i="20"/>
  <c r="H53" i="20"/>
  <c r="H44" i="20"/>
  <c r="H45" i="20"/>
  <c r="H46" i="20"/>
  <c r="H47" i="20"/>
  <c r="H48" i="20"/>
  <c r="H49" i="20"/>
  <c r="H50" i="20"/>
  <c r="H51" i="20"/>
  <c r="H52" i="20"/>
  <c r="H43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 s="1"/>
  <c r="H24" i="20"/>
  <c r="G6" i="20"/>
  <c r="G7" i="20"/>
  <c r="G8" i="20"/>
  <c r="G9" i="20"/>
  <c r="G10" i="20"/>
  <c r="G11" i="20"/>
  <c r="G12" i="20"/>
  <c r="G13" i="20"/>
  <c r="G14" i="20"/>
  <c r="G15" i="20"/>
  <c r="G16" i="20"/>
  <c r="G5" i="24" l="1"/>
  <c r="G6" i="24"/>
  <c r="F2" i="24"/>
  <c r="G5" i="20"/>
  <c r="G18" i="20" s="1"/>
  <c r="G19" i="20"/>
  <c r="G20" i="20" s="1"/>
  <c r="F2" i="20"/>
  <c r="G8" i="4"/>
  <c r="G6" i="4"/>
  <c r="G5" i="4"/>
  <c r="G14" i="4"/>
  <c r="G15" i="4"/>
  <c r="G7" i="4"/>
  <c r="G9" i="4"/>
  <c r="G10" i="4"/>
  <c r="G11" i="4"/>
  <c r="G12" i="4"/>
  <c r="G13" i="4"/>
  <c r="G2" i="4"/>
  <c r="G16" i="4"/>
  <c r="G7" i="24"/>
  <c r="G8" i="24"/>
</calcChain>
</file>

<file path=xl/sharedStrings.xml><?xml version="1.0" encoding="utf-8"?>
<sst xmlns="http://schemas.openxmlformats.org/spreadsheetml/2006/main" count="84" uniqueCount="66">
  <si>
    <t>N°</t>
  </si>
  <si>
    <t>CNT.</t>
  </si>
  <si>
    <t>SUSTENTO TÉCNICO</t>
  </si>
  <si>
    <t>PRECIO UNITARIO</t>
  </si>
  <si>
    <t>IMPORTE TOTAL</t>
  </si>
  <si>
    <r>
      <t>Ju</t>
    </r>
    <r>
      <rPr>
        <sz val="11"/>
        <color theme="1"/>
        <rFont val="Arial"/>
        <family val="2"/>
      </rPr>
      <t>e</t>
    </r>
    <r>
      <rPr>
        <sz val="11"/>
        <color rgb="FF000000"/>
        <rFont val="Arial"/>
        <family val="2"/>
      </rPr>
      <t>go d</t>
    </r>
    <r>
      <rPr>
        <sz val="11"/>
        <color theme="1"/>
        <rFont val="Arial"/>
        <family val="2"/>
      </rPr>
      <t>e</t>
    </r>
    <r>
      <rPr>
        <sz val="11"/>
        <color rgb="FF000000"/>
        <rFont val="Arial"/>
        <family val="2"/>
      </rPr>
      <t xml:space="preserve"> R</t>
    </r>
    <r>
      <rPr>
        <sz val="11"/>
        <color theme="1"/>
        <rFont val="Arial"/>
        <family val="2"/>
      </rPr>
      <t>etenes de Toyota</t>
    </r>
  </si>
  <si>
    <r>
      <t>Mu</t>
    </r>
    <r>
      <rPr>
        <sz val="11"/>
        <color theme="1"/>
        <rFont val="Arial"/>
        <family val="2"/>
      </rPr>
      <t>elle Retorno</t>
    </r>
  </si>
  <si>
    <r>
      <t>Ru</t>
    </r>
    <r>
      <rPr>
        <sz val="11"/>
        <color theme="1"/>
        <rFont val="Arial"/>
        <family val="2"/>
      </rPr>
      <t>edas de Horquilla 80x70</t>
    </r>
  </si>
  <si>
    <r>
      <t>Ju</t>
    </r>
    <r>
      <rPr>
        <sz val="11"/>
        <color theme="1"/>
        <rFont val="Arial"/>
        <family val="2"/>
      </rPr>
      <t>e</t>
    </r>
    <r>
      <rPr>
        <sz val="11"/>
        <color rgb="FF000000"/>
        <rFont val="Arial"/>
        <family val="2"/>
      </rPr>
      <t>go d</t>
    </r>
    <r>
      <rPr>
        <sz val="11"/>
        <color theme="1"/>
        <rFont val="Arial"/>
        <family val="2"/>
      </rPr>
      <t>e</t>
    </r>
    <r>
      <rPr>
        <sz val="11"/>
        <color rgb="FF000000"/>
        <rFont val="Arial"/>
        <family val="2"/>
      </rPr>
      <t xml:space="preserve"> R</t>
    </r>
    <r>
      <rPr>
        <sz val="11"/>
        <color theme="1"/>
        <rFont val="Arial"/>
        <family val="2"/>
      </rPr>
      <t>etenes de Rexon</t>
    </r>
  </si>
  <si>
    <r>
      <t>Ru</t>
    </r>
    <r>
      <rPr>
        <sz val="11"/>
        <color theme="1"/>
        <rFont val="Arial"/>
        <family val="2"/>
      </rPr>
      <t>edas de Direccionales</t>
    </r>
  </si>
  <si>
    <r>
      <t>Ru</t>
    </r>
    <r>
      <rPr>
        <sz val="11"/>
        <color theme="1"/>
        <rFont val="Arial"/>
        <family val="2"/>
      </rPr>
      <t>edas Trepadoras</t>
    </r>
  </si>
  <si>
    <r>
      <t>Ac</t>
    </r>
    <r>
      <rPr>
        <sz val="11"/>
        <color theme="1"/>
        <rFont val="Arial"/>
        <family val="2"/>
      </rPr>
      <t>eite</t>
    </r>
  </si>
  <si>
    <t xml:space="preserve"> Sub Total </t>
  </si>
  <si>
    <t xml:space="preserve"> IGV 18 % </t>
  </si>
  <si>
    <t xml:space="preserve"> Total </t>
  </si>
  <si>
    <t>Suministro de eje de brazo</t>
  </si>
  <si>
    <t>Suministro de resorte de retorno de brazo</t>
  </si>
  <si>
    <t>Suministro de protector soporte de pistón</t>
  </si>
  <si>
    <t>Desmontaje y montaje de estructura metálica de puerta corrediza, Prevencionista de riesgos y Uso de andamios certificados</t>
  </si>
  <si>
    <t>Reparación y mantenimiento de 04 carretillas hidráulicas (se cambio pasadores, orings, retenes de elevación, pines de expansion, retenes de bomba, anillos de jebe, aceite hidráulico y pintado).</t>
  </si>
  <si>
    <t>Suministro trapecio y ejes de rueda de carga</t>
  </si>
  <si>
    <t>Desarmado y engrase total de chasis</t>
  </si>
  <si>
    <t>Suministro y regulacion de cadena y varilla de retorno</t>
  </si>
  <si>
    <t>Enderezado del chasis y reforzamiento con soldadura</t>
  </si>
  <si>
    <t>Alineamiento de la barra de tiro</t>
  </si>
  <si>
    <t>Suministro de 4 ruedas de carga</t>
  </si>
  <si>
    <t>Suministro de 2 ruedas direccionales</t>
  </si>
  <si>
    <t>Suministro de brazo</t>
  </si>
  <si>
    <t>pasaje ida y vuelta</t>
  </si>
  <si>
    <t>comida</t>
  </si>
  <si>
    <t>kit mantenimiento</t>
  </si>
  <si>
    <t>encomienda ida y vuelta</t>
  </si>
  <si>
    <t>grasa</t>
  </si>
  <si>
    <t>mano de obra</t>
  </si>
  <si>
    <t>cadena</t>
  </si>
  <si>
    <t>eje</t>
  </si>
  <si>
    <t>resorte</t>
  </si>
  <si>
    <t>tapa</t>
  </si>
  <si>
    <t>trapecio y ejes rueda de carga</t>
  </si>
  <si>
    <t>ruedas carga</t>
  </si>
  <si>
    <t>direccional</t>
  </si>
  <si>
    <t>Juego de retenes BT</t>
  </si>
  <si>
    <t>Juego de retenes crown</t>
  </si>
  <si>
    <t>Rueda direccional</t>
  </si>
  <si>
    <t>Rueda horquilla</t>
  </si>
  <si>
    <t>resorte de retorno</t>
  </si>
  <si>
    <t>tapa de resorte</t>
  </si>
  <si>
    <t>anillo seeger</t>
  </si>
  <si>
    <t>balancines</t>
  </si>
  <si>
    <t>eje de balancin</t>
  </si>
  <si>
    <t>anillo de jebe</t>
  </si>
  <si>
    <t>barra de sop-chas</t>
  </si>
  <si>
    <t>precio unitario</t>
  </si>
  <si>
    <t>cantidad</t>
  </si>
  <si>
    <t>brazo completo</t>
  </si>
  <si>
    <t>Brazo</t>
  </si>
  <si>
    <t>Manija</t>
  </si>
  <si>
    <t>bocinas de brazo</t>
  </si>
  <si>
    <t>INVERSION</t>
  </si>
  <si>
    <t>CANTIDAD</t>
  </si>
  <si>
    <t>COSTO TOTAL</t>
  </si>
  <si>
    <t>PRECIO FINAL</t>
  </si>
  <si>
    <t>COSTO UNITARIO</t>
  </si>
  <si>
    <t>COSTO PARCIAL</t>
  </si>
  <si>
    <t>GANANCIA</t>
  </si>
  <si>
    <t>Pintado  y colocación de placa y 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</si>
</sst>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C0A]d\ &quot;de&quot;\ mmmm\ &quot;de&quot;\ yyyy;@"/>
    <numFmt numFmtId="165" formatCode="_-[$S/-280A]\ * #,##0.00_-;\-[$S/-280A]\ * #,##0.00_-;_-[$S/-280A]\ * &quot;-&quot;??_-;_-@_-"/>
  </numFmts>
  <fonts count="1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ptos Narrow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1AF7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4" fillId="2" borderId="8" xfId="0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5" fontId="5" fillId="0" borderId="1" xfId="0" applyNumberFormat="1" applyFont="1" applyBorder="1" applyAlignment="1">
      <alignment horizontal="right" vertical="center" wrapText="1"/>
    </xf>
    <xf numFmtId="165" fontId="2" fillId="0" borderId="3" xfId="0" applyNumberFormat="1" applyFont="1" applyBorder="1" applyAlignment="1">
      <alignment horizontal="right" vertical="center" wrapText="1"/>
    </xf>
    <xf numFmtId="165" fontId="2" fillId="0" borderId="7" xfId="0" applyNumberFormat="1" applyFont="1" applyBorder="1" applyAlignment="1">
      <alignment horizontal="right" vertical="center" wrapText="1"/>
    </xf>
    <xf numFmtId="165" fontId="5" fillId="3" borderId="1" xfId="0" applyNumberFormat="1" applyFont="1" applyFill="1" applyBorder="1" applyAlignment="1">
      <alignment horizontal="right"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5" fontId="0" fillId="0" borderId="0" xfId="0" applyNumberFormat="1"/>
    <xf numFmtId="0" fontId="4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6" fillId="0" borderId="0" xfId="0" applyFont="1" applyFill="1" applyBorder="1" applyAlignment="1">
      <alignment horizontal="right" vertical="center" wrapText="1"/>
    </xf>
    <xf numFmtId="0" fontId="9" fillId="5" borderId="16" xfId="2" applyBorder="1"/>
    <xf numFmtId="0" fontId="8" fillId="4" borderId="17" xfId="1" applyBorder="1" applyAlignment="1">
      <alignment horizontal="right"/>
    </xf>
    <xf numFmtId="0" fontId="8" fillId="4" borderId="18" xfId="1" applyBorder="1"/>
    <xf numFmtId="0" fontId="10" fillId="6" borderId="14" xfId="3" applyBorder="1"/>
    <xf numFmtId="0" fontId="0" fillId="0" borderId="0" xfId="0" applyAlignment="1">
      <alignment horizontal="right"/>
    </xf>
    <xf numFmtId="9" fontId="8" fillId="4" borderId="18" xfId="1" applyNumberFormat="1" applyBorder="1" applyAlignment="1">
      <alignment horizontal="center"/>
    </xf>
    <xf numFmtId="164" fontId="7" fillId="0" borderId="0" xfId="0" applyNumberFormat="1" applyFont="1" applyAlignment="1">
      <alignment horizontal="right" vertical="center"/>
    </xf>
    <xf numFmtId="0" fontId="10" fillId="6" borderId="19" xfId="3" applyBorder="1" applyAlignment="1">
      <alignment horizontal="center"/>
    </xf>
    <xf numFmtId="0" fontId="10" fillId="6" borderId="20" xfId="3" applyBorder="1" applyAlignment="1">
      <alignment horizontal="center"/>
    </xf>
    <xf numFmtId="0" fontId="9" fillId="5" borderId="15" xfId="2" applyBorder="1" applyAlignment="1">
      <alignment horizontal="center"/>
    </xf>
    <xf numFmtId="0" fontId="9" fillId="5" borderId="16" xfId="2" applyBorder="1" applyAlignment="1">
      <alignment horizontal="center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0</xdr:rowOff>
    </xdr:from>
    <xdr:to>
      <xdr:col>8</xdr:col>
      <xdr:colOff>76200</xdr:colOff>
      <xdr:row>1</xdr:row>
      <xdr:rowOff>95250</xdr:rowOff>
    </xdr:to>
    <xdr:pic>
      <xdr:nvPicPr>
        <xdr:cNvPr id="2" name="Imagen 1" descr="Forma&#10;&#10;Descripción generada automáticamente">
          <a:extLst>
            <a:ext uri="{FF2B5EF4-FFF2-40B4-BE49-F238E27FC236}">
              <a16:creationId xmlns:a16="http://schemas.microsoft.com/office/drawing/2014/main" id="{DD253730-F855-4BCB-9D04-90995975F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0"/>
          <a:ext cx="8201025" cy="1857375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0</xdr:row>
      <xdr:rowOff>19050</xdr:rowOff>
    </xdr:from>
    <xdr:to>
      <xdr:col>7</xdr:col>
      <xdr:colOff>9525</xdr:colOff>
      <xdr:row>0</xdr:row>
      <xdr:rowOff>1609725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D94D42DD-CB84-401D-B6BF-D3B141ED678D}"/>
            </a:ext>
          </a:extLst>
        </xdr:cNvPr>
        <xdr:cNvSpPr txBox="1">
          <a:spLocks noChangeArrowheads="1"/>
        </xdr:cNvSpPr>
      </xdr:nvSpPr>
      <xdr:spPr bwMode="auto">
        <a:xfrm>
          <a:off x="1571625" y="19050"/>
          <a:ext cx="6819900" cy="1590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buNone/>
          </a:pPr>
          <a:r>
            <a:rPr lang="es-PE" sz="1800" b="1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LF MUNAY PERÚ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800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RUC: 20605791124 / Calle: Los Álamos Mz L Lt 5 - Pachacamac.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800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CEL: 946 763 582 / Email: lfmunayperu@gmail.com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9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  <a:tabLst>
              <a:tab pos="4067810" algn="r"/>
            </a:tabLst>
          </a:pPr>
          <a:r>
            <a:rPr lang="es-PE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COTIZACIÓN DE SERVICIOS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s-PE" sz="1800" b="1">
              <a:solidFill>
                <a:srgbClr val="11AF7E"/>
              </a:solidFill>
              <a:effectLst/>
              <a:latin typeface="Amasis MT Pro Black" panose="02040A04050005020304" pitchFamily="18" charset="0"/>
              <a:ea typeface="Times New Roman" panose="02020603050405020304" pitchFamily="18" charset="0"/>
              <a:cs typeface="Arial" panose="020B0604020202020204" pitchFamily="34" charset="0"/>
            </a:rPr>
            <a:t>MANTENIMIENTO DE CARRETILLAS HIDRAÚLICAS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9525</xdr:colOff>
      <xdr:row>0</xdr:row>
      <xdr:rowOff>228600</xdr:rowOff>
    </xdr:from>
    <xdr:to>
      <xdr:col>4</xdr:col>
      <xdr:colOff>1101090</xdr:colOff>
      <xdr:row>0</xdr:row>
      <xdr:rowOff>1190625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B004845D-F29A-4945-8422-5533AC50F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228600"/>
          <a:ext cx="1091565" cy="962025"/>
        </a:xfrm>
        <a:prstGeom prst="rect">
          <a:avLst/>
        </a:prstGeom>
      </xdr:spPr>
    </xdr:pic>
    <xdr:clientData/>
  </xdr:twoCellAnchor>
  <xdr:twoCellAnchor>
    <xdr:from>
      <xdr:col>5</xdr:col>
      <xdr:colOff>1171575</xdr:colOff>
      <xdr:row>0</xdr:row>
      <xdr:rowOff>485775</xdr:rowOff>
    </xdr:from>
    <xdr:to>
      <xdr:col>6</xdr:col>
      <xdr:colOff>1152525</xdr:colOff>
      <xdr:row>0</xdr:row>
      <xdr:rowOff>871855</xdr:rowOff>
    </xdr:to>
    <xdr:sp macro="" textlink="">
      <xdr:nvSpPr>
        <xdr:cNvPr id="5" name="Cuadro de texto 2">
          <a:extLst>
            <a:ext uri="{FF2B5EF4-FFF2-40B4-BE49-F238E27FC236}">
              <a16:creationId xmlns:a16="http://schemas.microsoft.com/office/drawing/2014/main" id="{510048DE-63EE-48D6-9747-5D4D755A3289}"/>
            </a:ext>
          </a:extLst>
        </xdr:cNvPr>
        <xdr:cNvSpPr txBox="1">
          <a:spLocks noChangeArrowheads="1"/>
        </xdr:cNvSpPr>
      </xdr:nvSpPr>
      <xdr:spPr bwMode="auto">
        <a:xfrm>
          <a:off x="6838950" y="485775"/>
          <a:ext cx="1257300" cy="386080"/>
        </a:xfrm>
        <a:prstGeom prst="roundRect">
          <a:avLst>
            <a:gd name="adj" fmla="val 41257"/>
          </a:avLst>
        </a:prstGeom>
        <a:solidFill>
          <a:srgbClr val="FFFFFF"/>
        </a:solidFill>
        <a:ln w="38100">
          <a:solidFill>
            <a:srgbClr val="00B05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/>
          <a:r>
            <a:rPr lang="en-US" sz="12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N° 4213-2025</a:t>
          </a:r>
          <a:endParaRPr lang="es-PE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723900</xdr:colOff>
      <xdr:row>1</xdr:row>
      <xdr:rowOff>28574</xdr:rowOff>
    </xdr:from>
    <xdr:to>
      <xdr:col>6</xdr:col>
      <xdr:colOff>1409700</xdr:colOff>
      <xdr:row>3</xdr:row>
      <xdr:rowOff>125399</xdr:rowOff>
    </xdr:to>
    <xdr:sp macro="" textlink="">
      <xdr:nvSpPr>
        <xdr:cNvPr id="6" name="Cuadro de texto 2">
          <a:extLst>
            <a:ext uri="{FF2B5EF4-FFF2-40B4-BE49-F238E27FC236}">
              <a16:creationId xmlns:a16="http://schemas.microsoft.com/office/drawing/2014/main" id="{E4B33DD7-7BCC-4E6D-BB9E-B0C135C14F12}"/>
            </a:ext>
          </a:extLst>
        </xdr:cNvPr>
        <xdr:cNvSpPr txBox="1">
          <a:spLocks noChangeArrowheads="1"/>
        </xdr:cNvSpPr>
      </xdr:nvSpPr>
      <xdr:spPr bwMode="auto">
        <a:xfrm>
          <a:off x="1485900" y="1790699"/>
          <a:ext cx="6867525" cy="111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SEÑORES 	</a:t>
          </a:r>
          <a:r>
            <a:rPr lang="es-PE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HOMECENTERS PERUANOS ORIENTE SAC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Local:</a:t>
          </a:r>
          <a:r>
            <a:rPr lang="es-PE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	PUCALLPA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Atención:</a:t>
          </a:r>
          <a:r>
            <a:rPr lang="es-PE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 	HECTOR RAMIREZ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es-PE" sz="11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es-PE" sz="1100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Nos es grato saludarlo y a la vez presentarle nuestra propuesta la cual se detalla a continuación: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0</xdr:rowOff>
    </xdr:from>
    <xdr:to>
      <xdr:col>8</xdr:col>
      <xdr:colOff>200025</xdr:colOff>
      <xdr:row>1</xdr:row>
      <xdr:rowOff>95250</xdr:rowOff>
    </xdr:to>
    <xdr:pic>
      <xdr:nvPicPr>
        <xdr:cNvPr id="2" name="Imagen 1" descr="Forma&#10;&#10;Descripción generada automáticamente">
          <a:extLst>
            <a:ext uri="{FF2B5EF4-FFF2-40B4-BE49-F238E27FC236}">
              <a16:creationId xmlns:a16="http://schemas.microsoft.com/office/drawing/2014/main" id="{25948612-D818-4E36-8ECB-572E8C072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0"/>
          <a:ext cx="8134350" cy="1857375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0</xdr:row>
      <xdr:rowOff>19050</xdr:rowOff>
    </xdr:from>
    <xdr:to>
      <xdr:col>7</xdr:col>
      <xdr:colOff>9525</xdr:colOff>
      <xdr:row>0</xdr:row>
      <xdr:rowOff>1609725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3FEC524E-658E-4A55-A669-775A38B10568}"/>
            </a:ext>
            <a:ext uri="{147F2762-F138-4A5C-976F-8EAC2B608ADB}">
              <a16:predDERef xmlns:a16="http://schemas.microsoft.com/office/drawing/2014/main" pred="{25948612-D818-4E36-8ECB-572E8C0729E4}"/>
            </a:ext>
          </a:extLst>
        </xdr:cNvPr>
        <xdr:cNvSpPr txBox="1">
          <a:spLocks noChangeArrowheads="1"/>
        </xdr:cNvSpPr>
      </xdr:nvSpPr>
      <xdr:spPr bwMode="auto">
        <a:xfrm>
          <a:off x="1514475" y="19050"/>
          <a:ext cx="6810375" cy="1590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buNone/>
          </a:pPr>
          <a:r>
            <a:rPr lang="es-PE" sz="1800" b="1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LF MUNAY PERÚ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800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RUC: 20605791124 / Calle: Los Álamos Mz L Lt 5 - Pachacamac.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800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CEL: 946 763 582 / Email: lfmunayperu@gmail.com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9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  <a:tabLst>
              <a:tab pos="4067810" algn="r"/>
            </a:tabLst>
          </a:pPr>
          <a:r>
            <a:rPr lang="es-PE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COTIZACIÓN DE SERVICIOS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s-PE" sz="1800" b="1">
              <a:solidFill>
                <a:srgbClr val="11AF7E"/>
              </a:solidFill>
              <a:effectLst/>
              <a:latin typeface="Amasis MT Pro Black" panose="02040A04050005020304" pitchFamily="18" charset="0"/>
              <a:ea typeface="Times New Roman" panose="02020603050405020304" pitchFamily="18" charset="0"/>
              <a:cs typeface="Arial" panose="020B0604020202020204" pitchFamily="34" charset="0"/>
            </a:rPr>
            <a:t>MANTENIMIENTO DE CARRETILLAS HIDRAÚLICAS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9525</xdr:colOff>
      <xdr:row>0</xdr:row>
      <xdr:rowOff>228600</xdr:rowOff>
    </xdr:from>
    <xdr:to>
      <xdr:col>4</xdr:col>
      <xdr:colOff>1101090</xdr:colOff>
      <xdr:row>0</xdr:row>
      <xdr:rowOff>1190625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FF43967E-930B-4B45-A3FE-15A05CB838B0}"/>
            </a:ext>
            <a:ext uri="{147F2762-F138-4A5C-976F-8EAC2B608ADB}">
              <a16:predDERef xmlns:a16="http://schemas.microsoft.com/office/drawing/2014/main" pred="{3FEC524E-658E-4A55-A669-775A38B10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228600"/>
          <a:ext cx="1091565" cy="962025"/>
        </a:xfrm>
        <a:prstGeom prst="rect">
          <a:avLst/>
        </a:prstGeom>
      </xdr:spPr>
    </xdr:pic>
    <xdr:clientData/>
  </xdr:twoCellAnchor>
  <xdr:twoCellAnchor>
    <xdr:from>
      <xdr:col>5</xdr:col>
      <xdr:colOff>1171575</xdr:colOff>
      <xdr:row>0</xdr:row>
      <xdr:rowOff>485775</xdr:rowOff>
    </xdr:from>
    <xdr:to>
      <xdr:col>6</xdr:col>
      <xdr:colOff>1152525</xdr:colOff>
      <xdr:row>0</xdr:row>
      <xdr:rowOff>871855</xdr:rowOff>
    </xdr:to>
    <xdr:sp macro="" textlink="">
      <xdr:nvSpPr>
        <xdr:cNvPr id="5" name="Cuadro de texto 2">
          <a:extLst>
            <a:ext uri="{FF2B5EF4-FFF2-40B4-BE49-F238E27FC236}">
              <a16:creationId xmlns:a16="http://schemas.microsoft.com/office/drawing/2014/main" id="{024C77D9-49C9-4DC5-9526-3B9F93178695}"/>
            </a:ext>
            <a:ext uri="{147F2762-F138-4A5C-976F-8EAC2B608ADB}">
              <a16:predDERef xmlns:a16="http://schemas.microsoft.com/office/drawing/2014/main" pred="{FF43967E-930B-4B45-A3FE-15A05CB838B0}"/>
            </a:ext>
          </a:extLst>
        </xdr:cNvPr>
        <xdr:cNvSpPr txBox="1">
          <a:spLocks noChangeArrowheads="1"/>
        </xdr:cNvSpPr>
      </xdr:nvSpPr>
      <xdr:spPr bwMode="auto">
        <a:xfrm>
          <a:off x="6772275" y="485775"/>
          <a:ext cx="1257300" cy="386080"/>
        </a:xfrm>
        <a:prstGeom prst="roundRect">
          <a:avLst>
            <a:gd name="adj" fmla="val 41257"/>
          </a:avLst>
        </a:prstGeom>
        <a:solidFill>
          <a:srgbClr val="FFFFFF"/>
        </a:solidFill>
        <a:ln w="38100">
          <a:solidFill>
            <a:srgbClr val="00B05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indent="0" algn="ctr"/>
          <a:r>
            <a:rPr lang="en-US" sz="12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N° 10</a:t>
          </a:r>
          <a:r>
            <a:rPr lang="en-US" sz="12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242</a:t>
          </a:r>
          <a:r>
            <a:rPr lang="en-US" sz="12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-2025</a:t>
          </a:r>
        </a:p>
      </xdr:txBody>
    </xdr:sp>
    <xdr:clientData/>
  </xdr:twoCellAnchor>
  <xdr:twoCellAnchor>
    <xdr:from>
      <xdr:col>1</xdr:col>
      <xdr:colOff>723900</xdr:colOff>
      <xdr:row>1</xdr:row>
      <xdr:rowOff>28574</xdr:rowOff>
    </xdr:from>
    <xdr:to>
      <xdr:col>7</xdr:col>
      <xdr:colOff>80873</xdr:colOff>
      <xdr:row>2</xdr:row>
      <xdr:rowOff>638175</xdr:rowOff>
    </xdr:to>
    <xdr:sp macro="" textlink="">
      <xdr:nvSpPr>
        <xdr:cNvPr id="6" name="Cuadro de texto 2">
          <a:extLst>
            <a:ext uri="{FF2B5EF4-FFF2-40B4-BE49-F238E27FC236}">
              <a16:creationId xmlns:a16="http://schemas.microsoft.com/office/drawing/2014/main" id="{635496EC-0DBD-4CBB-A452-5E8A5BD4E3C8}"/>
            </a:ext>
            <a:ext uri="{147F2762-F138-4A5C-976F-8EAC2B608ADB}">
              <a16:predDERef xmlns:a16="http://schemas.microsoft.com/office/drawing/2014/main" pred="{024C77D9-49C9-4DC5-9526-3B9F93178695}"/>
            </a:ext>
          </a:extLst>
        </xdr:cNvPr>
        <xdr:cNvSpPr txBox="1">
          <a:spLocks noChangeArrowheads="1"/>
        </xdr:cNvSpPr>
      </xdr:nvSpPr>
      <xdr:spPr bwMode="auto">
        <a:xfrm>
          <a:off x="1457325" y="1790699"/>
          <a:ext cx="6938873" cy="923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indent="0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SEÑORES 	</a:t>
          </a:r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TOTTUS</a:t>
          </a:r>
        </a:p>
        <a:p>
          <a:pPr marL="0" indent="0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Local:</a:t>
          </a:r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 	</a:t>
          </a:r>
          <a:r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Campoy SJL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Atención:</a:t>
          </a:r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 	</a:t>
          </a:r>
          <a:r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Jose Vega</a:t>
          </a:r>
        </a:p>
        <a:p>
          <a:pPr marL="0" indent="0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Nos es grato saludarlo y a la vez presentarle nuestra propuesta la cual se detalla a continuación:</a:t>
          </a: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</xdr:txBody>
    </xdr:sp>
    <xdr:clientData/>
  </xdr:twoCellAnchor>
  <xdr:twoCellAnchor editAs="oneCell">
    <xdr:from>
      <xdr:col>4</xdr:col>
      <xdr:colOff>942975</xdr:colOff>
      <xdr:row>4</xdr:row>
      <xdr:rowOff>485775</xdr:rowOff>
    </xdr:from>
    <xdr:to>
      <xdr:col>4</xdr:col>
      <xdr:colOff>2524125</xdr:colOff>
      <xdr:row>4</xdr:row>
      <xdr:rowOff>1600200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B9059F0-76B9-DE36-CE44-F586A1C06542}"/>
            </a:ext>
            <a:ext uri="{147F2762-F138-4A5C-976F-8EAC2B608ADB}">
              <a16:predDERef xmlns:a16="http://schemas.microsoft.com/office/drawing/2014/main" pred="{3A686A82-399C-4902-A478-3343EC06F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76575" y="3457575"/>
          <a:ext cx="1581150" cy="1114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0</xdr:rowOff>
    </xdr:from>
    <xdr:to>
      <xdr:col>7</xdr:col>
      <xdr:colOff>911884</xdr:colOff>
      <xdr:row>1</xdr:row>
      <xdr:rowOff>95250</xdr:rowOff>
    </xdr:to>
    <xdr:pic>
      <xdr:nvPicPr>
        <xdr:cNvPr id="2" name="Imagen 1" descr="Forma&#10;&#10;Descripción generada automáticamente">
          <a:extLst>
            <a:ext uri="{FF2B5EF4-FFF2-40B4-BE49-F238E27FC236}">
              <a16:creationId xmlns:a16="http://schemas.microsoft.com/office/drawing/2014/main" id="{24AD5418-2265-4906-B266-576DE83F8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0"/>
          <a:ext cx="8201025" cy="1857375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0</xdr:row>
      <xdr:rowOff>19050</xdr:rowOff>
    </xdr:from>
    <xdr:to>
      <xdr:col>7</xdr:col>
      <xdr:colOff>9525</xdr:colOff>
      <xdr:row>0</xdr:row>
      <xdr:rowOff>1609725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CCD8C703-35E6-4919-A9DD-A0DF7453C022}"/>
            </a:ext>
          </a:extLst>
        </xdr:cNvPr>
        <xdr:cNvSpPr txBox="1">
          <a:spLocks noChangeArrowheads="1"/>
        </xdr:cNvSpPr>
      </xdr:nvSpPr>
      <xdr:spPr bwMode="auto">
        <a:xfrm>
          <a:off x="1571625" y="19050"/>
          <a:ext cx="6819900" cy="1590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buNone/>
          </a:pPr>
          <a:r>
            <a:rPr lang="es-PE" sz="1800" b="1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LF MUNAY PERÚ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800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RUC: 20605791124 / Calle: Los Álamos Mz L Lt 5 - Pachacamac.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800">
              <a:solidFill>
                <a:srgbClr val="1F497D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CEL: 946 763 582 / Email: lfmunayperu@gmail.com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9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  <a:tabLst>
              <a:tab pos="4067810" algn="r"/>
            </a:tabLst>
          </a:pPr>
          <a:r>
            <a:rPr lang="es-PE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COTIZACIÓN DE SERVICIOS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s-PE" sz="1800" b="1">
              <a:effectLst/>
              <a:latin typeface="Arial" panose="020B06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s-PE" sz="1800" b="1">
              <a:solidFill>
                <a:srgbClr val="11AF7E"/>
              </a:solidFill>
              <a:effectLst/>
              <a:latin typeface="Amasis MT Pro Black" panose="02040A04050005020304" pitchFamily="18" charset="0"/>
              <a:ea typeface="Times New Roman" panose="02020603050405020304" pitchFamily="18" charset="0"/>
              <a:cs typeface="Arial" panose="020B0604020202020204" pitchFamily="34" charset="0"/>
            </a:rPr>
            <a:t>MANTENIMIENTO DE CARRETILLAS HIDRAÚLICAS</a:t>
          </a:r>
          <a:endParaRPr lang="es-PE" sz="1100">
            <a:effectLst/>
            <a:latin typeface="Calibri" panose="020F050202020403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9525</xdr:colOff>
      <xdr:row>0</xdr:row>
      <xdr:rowOff>228600</xdr:rowOff>
    </xdr:from>
    <xdr:to>
      <xdr:col>4</xdr:col>
      <xdr:colOff>1101090</xdr:colOff>
      <xdr:row>0</xdr:row>
      <xdr:rowOff>1190625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9DA4DE36-95F8-490A-8F7C-1A4DFBE82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228600"/>
          <a:ext cx="1091565" cy="962025"/>
        </a:xfrm>
        <a:prstGeom prst="rect">
          <a:avLst/>
        </a:prstGeom>
      </xdr:spPr>
    </xdr:pic>
    <xdr:clientData/>
  </xdr:twoCellAnchor>
  <xdr:twoCellAnchor>
    <xdr:from>
      <xdr:col>5</xdr:col>
      <xdr:colOff>1171575</xdr:colOff>
      <xdr:row>0</xdr:row>
      <xdr:rowOff>485775</xdr:rowOff>
    </xdr:from>
    <xdr:to>
      <xdr:col>6</xdr:col>
      <xdr:colOff>1152525</xdr:colOff>
      <xdr:row>0</xdr:row>
      <xdr:rowOff>871855</xdr:rowOff>
    </xdr:to>
    <xdr:sp macro="" textlink="">
      <xdr:nvSpPr>
        <xdr:cNvPr id="5" name="Cuadro de texto 2">
          <a:extLst>
            <a:ext uri="{FF2B5EF4-FFF2-40B4-BE49-F238E27FC236}">
              <a16:creationId xmlns:a16="http://schemas.microsoft.com/office/drawing/2014/main" id="{B7C89C96-82E6-409B-8BE7-B02AE3271253}"/>
            </a:ext>
            <a:ext uri="{147F2762-F138-4A5C-976F-8EAC2B608ADB}">
              <a16:predDERef xmlns:a16="http://schemas.microsoft.com/office/drawing/2014/main" pred="{9DA4DE36-95F8-490A-8F7C-1A4DFBE8200C}"/>
            </a:ext>
          </a:extLst>
        </xdr:cNvPr>
        <xdr:cNvSpPr txBox="1">
          <a:spLocks noChangeArrowheads="1"/>
        </xdr:cNvSpPr>
      </xdr:nvSpPr>
      <xdr:spPr bwMode="auto">
        <a:xfrm>
          <a:off x="6838950" y="485775"/>
          <a:ext cx="1257300" cy="386080"/>
        </a:xfrm>
        <a:prstGeom prst="roundRect">
          <a:avLst>
            <a:gd name="adj" fmla="val 41257"/>
          </a:avLst>
        </a:prstGeom>
        <a:solidFill>
          <a:srgbClr val="FFFFFF"/>
        </a:solidFill>
        <a:ln w="38100">
          <a:solidFill>
            <a:srgbClr val="00B05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indent="0" algn="ctr"/>
          <a:r>
            <a:rPr lang="en-US" sz="12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N° 1017</a:t>
          </a:r>
          <a:r>
            <a:rPr lang="en-US" sz="12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</a:t>
          </a:r>
          <a:r>
            <a:rPr lang="en-US" sz="12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-2025</a:t>
          </a:r>
        </a:p>
      </xdr:txBody>
    </xdr:sp>
    <xdr:clientData/>
  </xdr:twoCellAnchor>
  <xdr:twoCellAnchor>
    <xdr:from>
      <xdr:col>1</xdr:col>
      <xdr:colOff>723900</xdr:colOff>
      <xdr:row>1</xdr:row>
      <xdr:rowOff>28574</xdr:rowOff>
    </xdr:from>
    <xdr:to>
      <xdr:col>7</xdr:col>
      <xdr:colOff>80873</xdr:colOff>
      <xdr:row>2</xdr:row>
      <xdr:rowOff>638175</xdr:rowOff>
    </xdr:to>
    <xdr:sp macro="" textlink="">
      <xdr:nvSpPr>
        <xdr:cNvPr id="6" name="Cuadro de texto 2">
          <a:extLst>
            <a:ext uri="{FF2B5EF4-FFF2-40B4-BE49-F238E27FC236}">
              <a16:creationId xmlns:a16="http://schemas.microsoft.com/office/drawing/2014/main" id="{2AE9DAC6-61A7-4AB8-AE36-5329FF6793AD}"/>
            </a:ext>
            <a:ext uri="{147F2762-F138-4A5C-976F-8EAC2B608ADB}">
              <a16:predDERef xmlns:a16="http://schemas.microsoft.com/office/drawing/2014/main" pred="{B7C89C96-82E6-409B-8BE7-B02AE3271253}"/>
            </a:ext>
          </a:extLst>
        </xdr:cNvPr>
        <xdr:cNvSpPr txBox="1">
          <a:spLocks noChangeArrowheads="1"/>
        </xdr:cNvSpPr>
      </xdr:nvSpPr>
      <xdr:spPr bwMode="auto">
        <a:xfrm>
          <a:off x="1485900" y="1790699"/>
          <a:ext cx="6976973" cy="9239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indent="0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SEÑORES 	</a:t>
          </a:r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HB PRECIO</a:t>
          </a:r>
        </a:p>
        <a:p>
          <a:pPr marL="0" indent="0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Local:</a:t>
          </a:r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 	MOYOBAMBA</a:t>
          </a:r>
        </a:p>
        <a:p>
          <a:pPr marL="0" indent="0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Atención:</a:t>
          </a:r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 	J</a:t>
          </a:r>
          <a:r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onathan Astete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/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Nos es grato saludarlo y a la vez presentarle nuestra propuesta la cual se detalla a continuación:</a:t>
          </a:r>
          <a:endParaRPr lang="en-US"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16"/>
  <sheetViews>
    <sheetView topLeftCell="A4" workbookViewId="0">
      <selection activeCell="E6" sqref="E6"/>
    </sheetView>
  </sheetViews>
  <sheetFormatPr baseColWidth="10" defaultColWidth="11" defaultRowHeight="14.25"/>
  <cols>
    <col min="3" max="3" width="4.25" customWidth="1"/>
    <col min="4" max="4" width="5.625" customWidth="1"/>
    <col min="5" max="5" width="52" customWidth="1"/>
    <col min="6" max="6" width="19.125" customWidth="1"/>
    <col min="7" max="7" width="21.5" customWidth="1"/>
  </cols>
  <sheetData>
    <row r="1" spans="3:7" ht="138.75" customHeight="1"/>
    <row r="2" spans="3:7" ht="24.75" customHeight="1">
      <c r="G2" s="17">
        <f ca="1">TODAY()</f>
        <v>46278</v>
      </c>
    </row>
    <row r="3" spans="3:7" ht="55.5" customHeight="1"/>
    <row r="4" spans="3:7">
      <c r="C4" s="7" t="s">
        <v>0</v>
      </c>
      <c r="D4" s="7" t="s">
        <v>1</v>
      </c>
      <c r="E4" s="16" t="s">
        <v>2</v>
      </c>
      <c r="F4" s="16" t="s">
        <v>3</v>
      </c>
      <c r="G4" s="18" t="s">
        <v>4</v>
      </c>
    </row>
    <row r="5" spans="3:7">
      <c r="C5" s="6">
        <v>1</v>
      </c>
      <c r="D5" s="6">
        <v>2</v>
      </c>
      <c r="E5" s="11" t="s">
        <v>5</v>
      </c>
      <c r="F5" s="19">
        <v>23</v>
      </c>
      <c r="G5" s="20">
        <f>D5*F5</f>
        <v>46</v>
      </c>
    </row>
    <row r="6" spans="3:7">
      <c r="C6" s="4">
        <v>2</v>
      </c>
      <c r="D6" s="6">
        <v>3</v>
      </c>
      <c r="E6" s="11" t="s">
        <v>5</v>
      </c>
      <c r="F6" s="19">
        <v>50</v>
      </c>
      <c r="G6" s="20">
        <f>D6*F6</f>
        <v>150</v>
      </c>
    </row>
    <row r="7" spans="3:7">
      <c r="C7" s="6">
        <v>3</v>
      </c>
      <c r="D7" s="4">
        <v>1</v>
      </c>
      <c r="E7" s="12" t="s">
        <v>6</v>
      </c>
      <c r="F7" s="21">
        <v>24</v>
      </c>
      <c r="G7" s="20">
        <f t="shared" ref="G7:G13" si="0">D7*F7</f>
        <v>24</v>
      </c>
    </row>
    <row r="8" spans="3:7">
      <c r="C8" s="5">
        <v>4</v>
      </c>
      <c r="D8" s="6">
        <v>8</v>
      </c>
      <c r="E8" s="11" t="s">
        <v>7</v>
      </c>
      <c r="F8" s="19">
        <v>55</v>
      </c>
      <c r="G8" s="20">
        <f>D8*F8</f>
        <v>440</v>
      </c>
    </row>
    <row r="9" spans="3:7">
      <c r="C9" s="6">
        <v>5</v>
      </c>
      <c r="D9" s="5">
        <v>4</v>
      </c>
      <c r="E9" s="13" t="s">
        <v>8</v>
      </c>
      <c r="F9" s="22">
        <v>38</v>
      </c>
      <c r="G9" s="20">
        <f t="shared" si="0"/>
        <v>152</v>
      </c>
    </row>
    <row r="10" spans="3:7">
      <c r="C10" s="4">
        <v>6</v>
      </c>
      <c r="D10" s="6">
        <v>6</v>
      </c>
      <c r="E10" s="11" t="s">
        <v>6</v>
      </c>
      <c r="F10" s="19">
        <v>24</v>
      </c>
      <c r="G10" s="20">
        <f t="shared" si="0"/>
        <v>144</v>
      </c>
    </row>
    <row r="11" spans="3:7">
      <c r="C11" s="4">
        <v>7</v>
      </c>
      <c r="D11" s="4">
        <v>2</v>
      </c>
      <c r="E11" s="12" t="s">
        <v>9</v>
      </c>
      <c r="F11" s="22">
        <v>70</v>
      </c>
      <c r="G11" s="20">
        <f t="shared" si="0"/>
        <v>140</v>
      </c>
    </row>
    <row r="12" spans="3:7">
      <c r="C12" s="4">
        <v>8</v>
      </c>
      <c r="D12" s="4">
        <v>2</v>
      </c>
      <c r="E12" s="12" t="s">
        <v>10</v>
      </c>
      <c r="F12" s="19">
        <v>35</v>
      </c>
      <c r="G12" s="20">
        <f t="shared" si="0"/>
        <v>70</v>
      </c>
    </row>
    <row r="13" spans="3:7">
      <c r="D13" s="4">
        <v>1</v>
      </c>
      <c r="E13" s="12" t="s">
        <v>11</v>
      </c>
      <c r="F13" s="21">
        <v>139.4</v>
      </c>
      <c r="G13" s="20">
        <f t="shared" si="0"/>
        <v>139.4</v>
      </c>
    </row>
    <row r="14" spans="3:7">
      <c r="C14" s="1"/>
      <c r="D14" s="1"/>
      <c r="E14" s="13"/>
      <c r="F14" s="8" t="s">
        <v>12</v>
      </c>
      <c r="G14" s="23">
        <f>SUM(G5:G13)</f>
        <v>1305.4000000000001</v>
      </c>
    </row>
    <row r="15" spans="3:7" ht="15">
      <c r="C15" s="2"/>
      <c r="D15" s="2"/>
      <c r="E15" s="14"/>
      <c r="F15" s="9" t="s">
        <v>13</v>
      </c>
      <c r="G15" s="20">
        <f>G14*0.18</f>
        <v>234.97200000000001</v>
      </c>
    </row>
    <row r="16" spans="3:7" ht="15">
      <c r="C16" s="3"/>
      <c r="D16" s="3"/>
      <c r="E16" s="15"/>
      <c r="F16" s="10" t="s">
        <v>14</v>
      </c>
      <c r="G16" s="20">
        <f>SUM(G14:G15)</f>
        <v>1540.3720000000001</v>
      </c>
    </row>
  </sheetData>
  <printOptions horizontalCentered="1" verticalCentered="1"/>
  <pageMargins left="0" right="0" top="0" bottom="0" header="0" footer="0"/>
  <pageSetup paperSize="9" scale="130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8"/>
  <sheetViews>
    <sheetView zoomScale="106" zoomScaleNormal="106" workbookViewId="0">
      <selection activeCell="M4" sqref="M4"/>
    </sheetView>
  </sheetViews>
  <sheetFormatPr baseColWidth="10" defaultColWidth="11" defaultRowHeight="14.25"/>
  <cols>
    <col min="3" max="3" width="4.25" customWidth="1"/>
    <col min="4" max="4" width="5.625" customWidth="1"/>
    <col min="5" max="5" width="52" customWidth="1"/>
    <col min="6" max="6" width="19.125" customWidth="1"/>
    <col min="7" max="7" width="21.5" customWidth="1"/>
    <col min="8" max="8" width="9.125"/>
    <col min="9" max="9" width="10.125" bestFit="1" customWidth="1"/>
    <col min="10" max="10" width="9.125"/>
    <col min="11" max="11" width="35" bestFit="1" customWidth="1"/>
  </cols>
  <sheetData>
    <row r="1" spans="3:9" ht="138.75" customHeight="1"/>
    <row r="2" spans="3:9" ht="24.75" customHeight="1">
      <c r="F2" s="41">
        <f ca="1">TODAY()</f>
        <v>46278</v>
      </c>
      <c r="G2" s="41"/>
    </row>
    <row r="3" spans="3:9" ht="55.5" customHeight="1"/>
    <row r="4" spans="3:9">
      <c r="C4" s="7" t="s">
        <v>0</v>
      </c>
      <c r="D4" s="7" t="s">
        <v>1</v>
      </c>
      <c r="E4" s="16" t="s">
        <v>2</v>
      </c>
      <c r="F4" s="32" t="s">
        <v>3</v>
      </c>
      <c r="G4" s="18" t="s">
        <v>4</v>
      </c>
    </row>
    <row r="5" spans="3:9" ht="135.75" customHeight="1">
      <c r="C5" s="6">
        <v>1</v>
      </c>
      <c r="D5" s="6">
        <v>1</v>
      </c>
      <c r="E5" s="33" t="s">
        <v>18</v>
      </c>
      <c r="F5" s="19">
        <v>3990</v>
      </c>
      <c r="G5" s="20">
        <f>D5*F5</f>
        <v>3990</v>
      </c>
    </row>
    <row r="6" spans="3:9">
      <c r="C6" s="25"/>
      <c r="D6" s="26"/>
      <c r="E6" s="24"/>
      <c r="F6" s="8" t="s">
        <v>12</v>
      </c>
      <c r="G6" s="23">
        <f>SUM(G5:G5)</f>
        <v>3990</v>
      </c>
      <c r="I6" s="31"/>
    </row>
    <row r="7" spans="3:9" ht="15">
      <c r="C7" s="27"/>
      <c r="D7" s="2"/>
      <c r="E7" s="14"/>
      <c r="F7" s="9" t="s">
        <v>13</v>
      </c>
      <c r="G7" s="20">
        <f>G6*0.18</f>
        <v>718.19999999999993</v>
      </c>
    </row>
    <row r="8" spans="3:9" ht="15">
      <c r="C8" s="28"/>
      <c r="D8" s="29"/>
      <c r="E8" s="30"/>
      <c r="F8" s="10" t="s">
        <v>14</v>
      </c>
      <c r="G8" s="20">
        <f>SUM(G6:G7)</f>
        <v>4708.2</v>
      </c>
    </row>
  </sheetData>
  <mergeCells count="1">
    <mergeCell ref="F2:G2"/>
  </mergeCells>
  <printOptions horizontalCentered="1" verticalCentered="1"/>
  <pageMargins left="0" right="0" top="0" bottom="0" header="0" footer="0"/>
  <pageSetup paperSize="9" scale="12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56"/>
  <sheetViews>
    <sheetView tabSelected="1" topLeftCell="A16" zoomScale="106" zoomScaleNormal="106" workbookViewId="0">
      <selection activeCell="E43" sqref="E43"/>
    </sheetView>
  </sheetViews>
  <sheetFormatPr baseColWidth="10" defaultColWidth="11" defaultRowHeight="14.25"/>
  <cols>
    <col min="3" max="3" width="4.25" customWidth="1"/>
    <col min="4" max="4" width="5.625" customWidth="1"/>
    <col min="5" max="5" width="52" customWidth="1"/>
    <col min="6" max="6" width="19.125" customWidth="1"/>
    <col min="7" max="7" width="21.5" customWidth="1"/>
    <col min="8" max="8" width="16" customWidth="1"/>
    <col min="11" max="11" width="35" bestFit="1" customWidth="1"/>
  </cols>
  <sheetData>
    <row r="1" spans="3:7" ht="138.75" customHeight="1"/>
    <row r="2" spans="3:7" ht="24.75" customHeight="1">
      <c r="F2" s="41">
        <f ca="1">TODAY()</f>
        <v>46278</v>
      </c>
      <c r="G2" s="41"/>
    </row>
    <row r="3" spans="3:7" ht="55.5" customHeight="1"/>
    <row r="4" spans="3:7">
      <c r="C4" s="7" t="s">
        <v>0</v>
      </c>
      <c r="D4" s="7" t="s">
        <v>1</v>
      </c>
      <c r="E4" s="16" t="s">
        <v>2</v>
      </c>
      <c r="F4" s="32" t="s">
        <v>3</v>
      </c>
      <c r="G4" s="18" t="s">
        <v>4</v>
      </c>
    </row>
    <row r="5" spans="3:7" ht="57">
      <c r="C5" s="6">
        <v>1</v>
      </c>
      <c r="D5" s="6">
        <v>4</v>
      </c>
      <c r="E5" s="11" t="s">
        <v>19</v>
      </c>
      <c r="F5" s="19">
        <v>650</v>
      </c>
      <c r="G5" s="20">
        <f>D5*F5</f>
        <v>2600</v>
      </c>
    </row>
    <row r="6" spans="3:7">
      <c r="C6" s="6">
        <v>2</v>
      </c>
      <c r="D6" s="6">
        <v>4</v>
      </c>
      <c r="E6" s="11" t="s">
        <v>23</v>
      </c>
      <c r="F6" s="19">
        <v>100</v>
      </c>
      <c r="G6" s="20">
        <f t="shared" ref="G6:G17" si="0">D6*F6</f>
        <v>400</v>
      </c>
    </row>
    <row r="7" spans="3:7">
      <c r="C7" s="6">
        <v>3</v>
      </c>
      <c r="D7" s="6">
        <v>4</v>
      </c>
      <c r="E7" s="11" t="s">
        <v>21</v>
      </c>
      <c r="F7" s="19">
        <v>20</v>
      </c>
      <c r="G7" s="20">
        <f t="shared" si="0"/>
        <v>80</v>
      </c>
    </row>
    <row r="8" spans="3:7">
      <c r="C8" s="6">
        <v>4</v>
      </c>
      <c r="D8" s="6">
        <v>1</v>
      </c>
      <c r="E8" s="11" t="s">
        <v>24</v>
      </c>
      <c r="F8" s="19">
        <v>20</v>
      </c>
      <c r="G8" s="20">
        <f t="shared" si="0"/>
        <v>20</v>
      </c>
    </row>
    <row r="9" spans="3:7">
      <c r="C9" s="6">
        <v>5</v>
      </c>
      <c r="D9" s="6">
        <v>1</v>
      </c>
      <c r="E9" s="11" t="s">
        <v>22</v>
      </c>
      <c r="F9" s="19">
        <v>190</v>
      </c>
      <c r="G9" s="20">
        <f t="shared" si="0"/>
        <v>190</v>
      </c>
    </row>
    <row r="10" spans="3:7">
      <c r="C10" s="6">
        <v>6</v>
      </c>
      <c r="D10" s="6">
        <v>1</v>
      </c>
      <c r="E10" s="11" t="s">
        <v>15</v>
      </c>
      <c r="F10" s="19">
        <v>55</v>
      </c>
      <c r="G10" s="20">
        <f t="shared" si="0"/>
        <v>55</v>
      </c>
    </row>
    <row r="11" spans="3:7">
      <c r="C11" s="6">
        <v>7</v>
      </c>
      <c r="D11" s="6">
        <v>2</v>
      </c>
      <c r="E11" s="11" t="s">
        <v>16</v>
      </c>
      <c r="F11" s="19">
        <v>55</v>
      </c>
      <c r="G11" s="20">
        <f t="shared" si="0"/>
        <v>110</v>
      </c>
    </row>
    <row r="12" spans="3:7">
      <c r="C12" s="6">
        <v>8</v>
      </c>
      <c r="D12" s="6">
        <v>2</v>
      </c>
      <c r="E12" s="11" t="s">
        <v>17</v>
      </c>
      <c r="F12" s="19">
        <v>29</v>
      </c>
      <c r="G12" s="20">
        <f t="shared" si="0"/>
        <v>58</v>
      </c>
    </row>
    <row r="13" spans="3:7">
      <c r="C13" s="6">
        <v>9</v>
      </c>
      <c r="D13" s="6">
        <v>2</v>
      </c>
      <c r="E13" s="11" t="s">
        <v>20</v>
      </c>
      <c r="F13" s="19">
        <v>250</v>
      </c>
      <c r="G13" s="20">
        <f t="shared" si="0"/>
        <v>500</v>
      </c>
    </row>
    <row r="14" spans="3:7">
      <c r="C14" s="6">
        <v>10</v>
      </c>
      <c r="D14" s="6">
        <v>4</v>
      </c>
      <c r="E14" s="11" t="s">
        <v>25</v>
      </c>
      <c r="F14" s="19">
        <v>40</v>
      </c>
      <c r="G14" s="20">
        <f t="shared" si="0"/>
        <v>160</v>
      </c>
    </row>
    <row r="15" spans="3:7">
      <c r="C15" s="6">
        <v>11</v>
      </c>
      <c r="D15" s="6">
        <v>2</v>
      </c>
      <c r="E15" s="11" t="s">
        <v>26</v>
      </c>
      <c r="F15" s="19">
        <v>80</v>
      </c>
      <c r="G15" s="20">
        <f t="shared" si="0"/>
        <v>160</v>
      </c>
    </row>
    <row r="16" spans="3:7">
      <c r="C16" s="6">
        <v>12</v>
      </c>
      <c r="D16" s="6">
        <v>1</v>
      </c>
      <c r="E16" s="11" t="s">
        <v>27</v>
      </c>
      <c r="F16" s="19">
        <v>320</v>
      </c>
      <c r="G16" s="20">
        <f t="shared" si="0"/>
        <v>320</v>
      </c>
    </row>
    <row r="17" spans="3:9">
      <c r="C17" s="25">
        <v>13</v>
      </c>
      <c r="D17" s="26">
        <v>4</v>
      </c>
      <c r="E17" s="24" t="s">
        <v>65</v>
      </c>
      <c r="F17" s="21">
        <v>1</v>
      </c>
      <c r="G17" s="20">
        <f t="shared" si="0"/>
        <v>4</v>
      </c>
    </row>
    <row r="18" spans="3:9">
      <c r="C18" s="25"/>
      <c r="D18" s="26"/>
      <c r="E18" s="24"/>
      <c r="F18" s="8" t="s">
        <v>12</v>
      </c>
      <c r="G18" s="23">
        <f>SUM(G5:G16)</f>
        <v>4653</v>
      </c>
      <c r="I18" s="31"/>
    </row>
    <row r="19" spans="3:9" ht="15">
      <c r="C19" s="27"/>
      <c r="D19" s="2"/>
      <c r="E19" s="14"/>
      <c r="F19" s="9" t="s">
        <v>13</v>
      </c>
      <c r="G19" s="20">
        <f>G18*0.18</f>
        <v>837.54</v>
      </c>
    </row>
    <row r="20" spans="3:9" ht="15">
      <c r="C20" s="28"/>
      <c r="D20" s="29"/>
      <c r="E20" s="30"/>
      <c r="F20" s="10" t="s">
        <v>14</v>
      </c>
      <c r="G20" s="20">
        <f>SUM(G18:G19)</f>
        <v>5490.54</v>
      </c>
    </row>
    <row r="23" spans="3:9">
      <c r="E23" s="39" t="s">
        <v>58</v>
      </c>
      <c r="F23" s="34" t="s">
        <v>59</v>
      </c>
      <c r="G23" t="s">
        <v>62</v>
      </c>
      <c r="H23" t="s">
        <v>63</v>
      </c>
    </row>
    <row r="24" spans="3:9">
      <c r="E24" s="39" t="s">
        <v>28</v>
      </c>
      <c r="F24">
        <v>4</v>
      </c>
      <c r="G24">
        <v>200</v>
      </c>
      <c r="H24">
        <f>F24*G24</f>
        <v>800</v>
      </c>
    </row>
    <row r="25" spans="3:9">
      <c r="E25" s="39" t="s">
        <v>29</v>
      </c>
      <c r="F25">
        <v>2</v>
      </c>
      <c r="G25">
        <v>40</v>
      </c>
      <c r="H25">
        <f t="shared" ref="H25:H37" si="1">F25*G25</f>
        <v>80</v>
      </c>
    </row>
    <row r="26" spans="3:9">
      <c r="E26" s="39" t="s">
        <v>30</v>
      </c>
      <c r="F26">
        <v>4</v>
      </c>
      <c r="G26">
        <v>120</v>
      </c>
      <c r="H26">
        <f t="shared" si="1"/>
        <v>480</v>
      </c>
    </row>
    <row r="27" spans="3:9">
      <c r="E27" s="39" t="s">
        <v>31</v>
      </c>
      <c r="F27">
        <v>2</v>
      </c>
      <c r="G27">
        <v>80</v>
      </c>
      <c r="H27">
        <f t="shared" si="1"/>
        <v>160</v>
      </c>
    </row>
    <row r="28" spans="3:9">
      <c r="E28" s="39" t="s">
        <v>32</v>
      </c>
      <c r="F28">
        <v>1</v>
      </c>
      <c r="G28">
        <v>60</v>
      </c>
      <c r="H28">
        <f t="shared" si="1"/>
        <v>60</v>
      </c>
    </row>
    <row r="29" spans="3:9">
      <c r="E29" s="39" t="s">
        <v>33</v>
      </c>
      <c r="F29">
        <v>4</v>
      </c>
      <c r="G29">
        <v>200</v>
      </c>
      <c r="H29">
        <f t="shared" si="1"/>
        <v>800</v>
      </c>
    </row>
    <row r="30" spans="3:9">
      <c r="E30" s="39" t="s">
        <v>34</v>
      </c>
      <c r="F30">
        <v>1</v>
      </c>
      <c r="G30">
        <v>120</v>
      </c>
      <c r="H30">
        <f t="shared" si="1"/>
        <v>120</v>
      </c>
    </row>
    <row r="31" spans="3:9">
      <c r="E31" s="39" t="s">
        <v>35</v>
      </c>
      <c r="F31">
        <v>1</v>
      </c>
      <c r="G31">
        <v>30</v>
      </c>
      <c r="H31">
        <f t="shared" si="1"/>
        <v>30</v>
      </c>
    </row>
    <row r="32" spans="3:9">
      <c r="E32" s="39" t="s">
        <v>36</v>
      </c>
      <c r="F32">
        <v>2</v>
      </c>
      <c r="G32">
        <v>20</v>
      </c>
      <c r="H32">
        <f t="shared" si="1"/>
        <v>40</v>
      </c>
    </row>
    <row r="33" spans="5:8">
      <c r="E33" s="39" t="s">
        <v>37</v>
      </c>
      <c r="F33">
        <v>2</v>
      </c>
      <c r="G33">
        <v>16</v>
      </c>
      <c r="H33">
        <f t="shared" si="1"/>
        <v>32</v>
      </c>
    </row>
    <row r="34" spans="5:8">
      <c r="E34" s="39" t="s">
        <v>38</v>
      </c>
      <c r="F34">
        <v>2</v>
      </c>
      <c r="G34">
        <v>100</v>
      </c>
      <c r="H34">
        <f t="shared" si="1"/>
        <v>200</v>
      </c>
    </row>
    <row r="35" spans="5:8">
      <c r="E35" s="39" t="s">
        <v>39</v>
      </c>
      <c r="F35">
        <v>4</v>
      </c>
      <c r="G35">
        <v>23</v>
      </c>
      <c r="H35">
        <f t="shared" si="1"/>
        <v>92</v>
      </c>
    </row>
    <row r="36" spans="5:8">
      <c r="E36" s="39" t="s">
        <v>40</v>
      </c>
      <c r="F36">
        <v>2</v>
      </c>
      <c r="G36">
        <v>45</v>
      </c>
      <c r="H36">
        <f t="shared" si="1"/>
        <v>90</v>
      </c>
    </row>
    <row r="37" spans="5:8" ht="15" thickBot="1">
      <c r="E37" s="39" t="s">
        <v>55</v>
      </c>
      <c r="F37">
        <v>1</v>
      </c>
      <c r="G37">
        <v>210</v>
      </c>
      <c r="H37">
        <f t="shared" si="1"/>
        <v>210</v>
      </c>
    </row>
    <row r="38" spans="5:8">
      <c r="F38" s="44" t="s">
        <v>60</v>
      </c>
      <c r="G38" s="45"/>
      <c r="H38" s="35">
        <f>SUM(H24:H37)</f>
        <v>3194</v>
      </c>
    </row>
    <row r="39" spans="5:8" ht="15" thickBot="1">
      <c r="F39" s="36" t="s">
        <v>64</v>
      </c>
      <c r="G39" s="40">
        <v>0.7</v>
      </c>
      <c r="H39" s="37">
        <f>H38*G39</f>
        <v>2235.7999999999997</v>
      </c>
    </row>
    <row r="40" spans="5:8" ht="15" thickBot="1">
      <c r="F40" s="42" t="s">
        <v>61</v>
      </c>
      <c r="G40" s="43"/>
      <c r="H40" s="38">
        <f>H38+H39</f>
        <v>5429.7999999999993</v>
      </c>
    </row>
    <row r="42" spans="5:8">
      <c r="F42" t="s">
        <v>53</v>
      </c>
      <c r="G42" t="s">
        <v>52</v>
      </c>
    </row>
    <row r="43" spans="5:8">
      <c r="E43" t="s">
        <v>41</v>
      </c>
      <c r="F43">
        <v>1</v>
      </c>
      <c r="G43">
        <v>45</v>
      </c>
      <c r="H43">
        <f>F43*G43</f>
        <v>45</v>
      </c>
    </row>
    <row r="44" spans="5:8">
      <c r="E44" t="s">
        <v>42</v>
      </c>
      <c r="F44">
        <v>1</v>
      </c>
      <c r="G44">
        <v>40</v>
      </c>
      <c r="H44">
        <f t="shared" ref="H44:H56" si="2">F44*G44</f>
        <v>40</v>
      </c>
    </row>
    <row r="45" spans="5:8">
      <c r="E45" t="s">
        <v>43</v>
      </c>
      <c r="F45">
        <v>1</v>
      </c>
      <c r="G45">
        <v>45</v>
      </c>
      <c r="H45">
        <f t="shared" si="2"/>
        <v>45</v>
      </c>
    </row>
    <row r="46" spans="5:8">
      <c r="E46" t="s">
        <v>44</v>
      </c>
      <c r="F46">
        <v>1</v>
      </c>
      <c r="G46">
        <v>23</v>
      </c>
      <c r="H46">
        <f t="shared" si="2"/>
        <v>23</v>
      </c>
    </row>
    <row r="47" spans="5:8">
      <c r="E47" t="s">
        <v>45</v>
      </c>
      <c r="F47">
        <v>1</v>
      </c>
      <c r="G47">
        <v>20</v>
      </c>
      <c r="H47">
        <f t="shared" si="2"/>
        <v>20</v>
      </c>
    </row>
    <row r="48" spans="5:8">
      <c r="E48" t="s">
        <v>46</v>
      </c>
      <c r="F48">
        <v>1</v>
      </c>
      <c r="G48">
        <v>16</v>
      </c>
      <c r="H48">
        <f t="shared" si="2"/>
        <v>16</v>
      </c>
    </row>
    <row r="49" spans="5:8">
      <c r="E49" t="s">
        <v>47</v>
      </c>
      <c r="F49">
        <v>1</v>
      </c>
      <c r="G49">
        <v>6</v>
      </c>
      <c r="H49">
        <f t="shared" si="2"/>
        <v>6</v>
      </c>
    </row>
    <row r="50" spans="5:8">
      <c r="E50" t="s">
        <v>48</v>
      </c>
      <c r="F50">
        <v>1</v>
      </c>
      <c r="G50">
        <v>18</v>
      </c>
      <c r="H50">
        <f t="shared" si="2"/>
        <v>18</v>
      </c>
    </row>
    <row r="51" spans="5:8">
      <c r="E51" t="s">
        <v>49</v>
      </c>
      <c r="F51">
        <v>1</v>
      </c>
      <c r="G51">
        <v>10</v>
      </c>
      <c r="H51">
        <f t="shared" si="2"/>
        <v>10</v>
      </c>
    </row>
    <row r="52" spans="5:8">
      <c r="E52" t="s">
        <v>50</v>
      </c>
      <c r="F52">
        <v>1</v>
      </c>
      <c r="G52">
        <v>1</v>
      </c>
      <c r="H52">
        <f t="shared" si="2"/>
        <v>1</v>
      </c>
    </row>
    <row r="53" spans="5:8">
      <c r="E53" t="s">
        <v>51</v>
      </c>
      <c r="F53">
        <v>1</v>
      </c>
      <c r="G53">
        <v>65</v>
      </c>
      <c r="H53">
        <f t="shared" si="2"/>
        <v>65</v>
      </c>
    </row>
    <row r="54" spans="5:8">
      <c r="E54" t="s">
        <v>54</v>
      </c>
      <c r="F54">
        <v>1</v>
      </c>
      <c r="G54">
        <v>210</v>
      </c>
      <c r="H54">
        <f t="shared" si="2"/>
        <v>210</v>
      </c>
    </row>
    <row r="55" spans="5:8">
      <c r="E55" t="s">
        <v>56</v>
      </c>
      <c r="F55">
        <v>1</v>
      </c>
      <c r="G55">
        <v>15</v>
      </c>
      <c r="H55">
        <f t="shared" si="2"/>
        <v>15</v>
      </c>
    </row>
    <row r="56" spans="5:8">
      <c r="E56" t="s">
        <v>57</v>
      </c>
      <c r="F56">
        <v>1</v>
      </c>
      <c r="G56">
        <v>3</v>
      </c>
      <c r="H56">
        <f t="shared" si="2"/>
        <v>3</v>
      </c>
    </row>
  </sheetData>
  <mergeCells count="3">
    <mergeCell ref="F2:G2"/>
    <mergeCell ref="F40:G40"/>
    <mergeCell ref="F38:G38"/>
  </mergeCells>
  <printOptions horizontalCentered="1" verticalCentered="1"/>
  <pageMargins left="0" right="0" top="0" bottom="0" header="0" footer="0"/>
  <pageSetup paperSize="9" scale="12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31f90ec-c100-4e00-96a2-6ba7fb6c393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C2060095EE3C44A57F722FB4E9D111" ma:contentTypeVersion="13" ma:contentTypeDescription="Create a new document." ma:contentTypeScope="" ma:versionID="b2588a655402a3e82e1fd04d4908ca14">
  <xsd:schema xmlns:xsd="http://www.w3.org/2001/XMLSchema" xmlns:xs="http://www.w3.org/2001/XMLSchema" xmlns:p="http://schemas.microsoft.com/office/2006/metadata/properties" xmlns:ns3="c31f90ec-c100-4e00-96a2-6ba7fb6c3938" targetNamespace="http://schemas.microsoft.com/office/2006/metadata/properties" ma:root="true" ma:fieldsID="7d6dc8f6ae223745a51389e1f65bfa06" ns3:_="">
    <xsd:import namespace="c31f90ec-c100-4e00-96a2-6ba7fb6c39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1f90ec-c100-4e00-96a2-6ba7fb6c39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09B20-3805-44AD-9EED-A2B4CB14EBEF}">
  <ds:schemaRefs>
    <ds:schemaRef ds:uri="http://schemas.microsoft.com/office/2006/metadata/properties"/>
    <ds:schemaRef ds:uri="http://www.w3.org/2000/xmlns/"/>
    <ds:schemaRef ds:uri="c31f90ec-c100-4e00-96a2-6ba7fb6c3938"/>
    <ds:schemaRef ds:uri="http://www.w3.org/2001/XMLSchema-instan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F39EB3F-2AA0-49BA-866F-31F18F3E66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FB65E1-43E3-4118-AEF0-AE0C89EB570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31f90ec-c100-4e00-96a2-6ba7fb6c3938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Hoja2 (2)</vt:lpstr>
      <vt:lpstr>Hoja2 (19)</vt:lpstr>
      <vt:lpstr>COTIZACION MOTOR</vt:lpstr>
      <vt:lpstr>'COTIZACION MOTOR'!_Hlk192102434</vt:lpstr>
      <vt:lpstr>'Hoja2 (19)'!_Hlk192102434</vt:lpstr>
      <vt:lpstr>'Hoja2 (2)'!_Hlk192102434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MUNAY PERU</dc:creator>
  <cp:keywords/>
  <dc:description/>
  <cp:lastModifiedBy>CASA</cp:lastModifiedBy>
  <cp:revision/>
  <dcterms:created xsi:type="dcterms:W3CDTF">2025-05-21T20:59:15Z</dcterms:created>
  <dcterms:modified xsi:type="dcterms:W3CDTF">2026-09-13T19:39:32Z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0x010100CDC2060095EE3C44A57F722FB4E9D111</vt:lpwstr>
  </property>
</Properties>
</file>