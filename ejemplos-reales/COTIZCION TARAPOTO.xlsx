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SA\Documents\"/>
    </mc:Choice>
  </mc:AlternateContent>
  <bookViews>
    <workbookView xWindow="0" yWindow="0" windowWidth="20490" windowHeight="7650" activeTab="2"/>
  </bookViews>
  <sheets>
    <sheet name="Hoja2 (53)" sheetId="1" r:id="rId1"/>
    <sheet name="Hoja2 (54)" sheetId="2" r:id="rId2"/>
    <sheet name="Hoja2 (55)" sheetId="4" r:id="rId3"/>
  </sheets>
  <definedNames>
    <definedName name="_Hlk192102434" localSheetId="0">'Hoja2 (53)'!$H$1</definedName>
    <definedName name="_Hlk192102434" localSheetId="1">'Hoja2 (54)'!$H$1</definedName>
    <definedName name="_Hlk192102434" localSheetId="2">'Hoja2 (55)'!$H$1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/>
  <c r="G25" i="4"/>
  <c r="G24" i="4"/>
  <c r="G23" i="4"/>
  <c r="G22" i="4"/>
  <c r="G13" i="4"/>
  <c r="G14" i="4"/>
  <c r="G15" i="4"/>
  <c r="G16" i="4"/>
  <c r="G17" i="4"/>
  <c r="G18" i="4"/>
  <c r="G19" i="4"/>
  <c r="G20" i="4"/>
  <c r="G21" i="4"/>
  <c r="G12" i="4"/>
  <c r="G5" i="4"/>
  <c r="F23" i="4"/>
  <c r="F24" i="4"/>
  <c r="G2" i="4"/>
  <c r="F25" i="4" l="1"/>
  <c r="G6" i="4"/>
  <c r="G7" i="4" s="1"/>
  <c r="G8" i="4" s="1"/>
  <c r="G6" i="2"/>
  <c r="G5" i="2" l="1"/>
  <c r="G2" i="2"/>
  <c r="G7" i="2" l="1"/>
  <c r="G8" i="2" s="1"/>
  <c r="G9" i="2" s="1"/>
  <c r="G6" i="1"/>
  <c r="G7" i="1"/>
  <c r="G8" i="1"/>
  <c r="G5" i="1" l="1"/>
  <c r="G9" i="1" s="1"/>
  <c r="G2" i="1"/>
  <c r="G10" i="1" l="1"/>
  <c r="G11" i="1" s="1"/>
</calcChain>
</file>

<file path=xl/sharedStrings.xml><?xml version="1.0" encoding="utf-8"?>
<sst xmlns="http://schemas.openxmlformats.org/spreadsheetml/2006/main" count="65" uniqueCount="43">
  <si>
    <t>N°</t>
  </si>
  <si>
    <t>CNT.</t>
  </si>
  <si>
    <t>SUSTENTO TÉCNICO</t>
  </si>
  <si>
    <t>PRECIO UNITARIO</t>
  </si>
  <si>
    <t>IMPORTE TOTAL</t>
  </si>
  <si>
    <t>Reparación y mantenimiento de 4 carretillas hidráulicas (se cambio pasadores, orings, retenes de elevación, retenes de bomba, anillos de jebe, aceite hidráulico y pintado).</t>
  </si>
  <si>
    <t xml:space="preserve"> Sub Total </t>
  </si>
  <si>
    <t xml:space="preserve"> IGV 18 % </t>
  </si>
  <si>
    <t xml:space="preserve"> Total </t>
  </si>
  <si>
    <t>Cambio de 8 ruedas direccionales y 16 ruedas de carga a 4</t>
  </si>
  <si>
    <t>carretillas hidraulicas</t>
  </si>
  <si>
    <t>2 1 Suministro de resorte de retorno de brazo S/ 55.00 S/ 55.00</t>
  </si>
  <si>
    <t>3 2 Suministro de protector soporte tapa de pistón S/ 29.00 S/ 58.00</t>
  </si>
  <si>
    <t>4 1 Suministro de eje de brazo S/ 55.00 S/ 55.00</t>
  </si>
  <si>
    <t>5 2 Suministro de bocina de eje S/ 15.00 S/ 30.00</t>
  </si>
  <si>
    <t xml:space="preserve">Suministro de protector soporte tapa de pistón </t>
  </si>
  <si>
    <t>Suministro de eje de brazo</t>
  </si>
  <si>
    <t xml:space="preserve">Suministro de bocina de eje </t>
  </si>
  <si>
    <t>SUMINISTRO E INSTALACION DE RAMPA DE ACERO INOXIDABLE C-304</t>
  </si>
  <si>
    <t>SUMINISTRO E INSTALACION DE 3 PROTECTORES DE ACERO INOXIDABLE C-304</t>
  </si>
  <si>
    <t>cadena y brazo de acero</t>
  </si>
  <si>
    <t>caja sumatoria de acero</t>
  </si>
  <si>
    <t>cable multiconductor</t>
  </si>
  <si>
    <t>otros</t>
  </si>
  <si>
    <t>celdas de carga en barra toledo 1t de acero inoxidable</t>
  </si>
  <si>
    <t>cual es el precio de la cadena de brazo</t>
  </si>
  <si>
    <t>pasajes a cuzco ida y vuelta</t>
  </si>
  <si>
    <t>comida personal desayuno, almuerzo y cena</t>
  </si>
  <si>
    <t>buscar precio en bus de lima a cuzco</t>
  </si>
  <si>
    <t>cuantos trabajadores realizaran el mantenimiento a la balanza</t>
  </si>
  <si>
    <t>tubo corrugado 6m</t>
  </si>
  <si>
    <t>mano de obra</t>
  </si>
  <si>
    <t>encomienda ida y vuelta</t>
  </si>
  <si>
    <t>DEPENDE ED PERSONAL</t>
  </si>
  <si>
    <t>costos</t>
  </si>
  <si>
    <t>ganancia</t>
  </si>
  <si>
    <t>se va pintar la estructura de la balanza?</t>
  </si>
  <si>
    <t>que tipo de pintura se aplicará? Epoxica o gloss?</t>
  </si>
  <si>
    <t>precio</t>
  </si>
  <si>
    <t>silicona para sellar la caja sumatoria</t>
  </si>
  <si>
    <t>LOCAL:COMAS</t>
  </si>
  <si>
    <r>
      <t>8</t>
    </r>
    <r>
      <rPr>
        <sz val="11"/>
        <color rgb="FFFF0000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1-MES-</t>
    </r>
    <r>
      <rPr>
        <sz val="11"/>
        <color rgb="FFFF0000"/>
        <rFont val="Calibri"/>
        <family val="2"/>
        <scheme val="minor"/>
      </rPr>
      <t>DIA</t>
    </r>
    <r>
      <rPr>
        <sz val="11"/>
        <color theme="1"/>
        <rFont val="Calibri"/>
        <family val="2"/>
        <scheme val="minor"/>
      </rPr>
      <t>-#</t>
    </r>
  </si>
  <si>
    <t xml:space="preserve">SERVICIO: Mantenimiento de balanza plataforma, Calibracion, Nivelación, Alineamiento de plataforma, Empotrado de cadena y brazo de acero inox C-304. Cambio de 2 Celdas de carga METTLER TOLEDO 1T ACERO INOX, 
Caja sumatoria de ACERO INOX. 
Suministro e Instalacion de
cable multiconductor (6m), con manguera de proteccion.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</si>
</sst>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C0A]d\ &quot;de&quot;\ mmmm\ &quot;de&quot;\ yyyy;@"/>
    <numFmt numFmtId="165" formatCode="_-[$S/-280A]\ * #,##0.00_-;\-[$S/-280A]\ * #,##0.00_-;_-[$S/-280A]\ 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AF7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0" borderId="5" xfId="0" applyFont="1" applyBorder="1" applyAlignment="1">
      <alignment horizontal="right" vertical="center" wrapText="1"/>
    </xf>
    <xf numFmtId="165" fontId="4" fillId="3" borderId="3" xfId="0" applyNumberFormat="1" applyFont="1" applyFill="1" applyBorder="1" applyAlignment="1">
      <alignment horizontal="right" vertical="center" wrapText="1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right" vertical="center" wrapText="1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4" xfId="0" applyFont="1" applyBorder="1" applyAlignment="1">
      <alignment horizontal="right" vertical="center" wrapText="1"/>
    </xf>
    <xf numFmtId="165" fontId="0" fillId="0" borderId="0" xfId="0" applyNumberFormat="1"/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horizontal="right" vertical="center" wrapText="1"/>
    </xf>
    <xf numFmtId="0" fontId="3" fillId="0" borderId="3" xfId="0" applyFont="1" applyBorder="1" applyAlignment="1">
      <alignment vertical="center" wrapText="1"/>
    </xf>
    <xf numFmtId="165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vertical="top" wrapText="1"/>
    </xf>
    <xf numFmtId="0" fontId="0" fillId="0" borderId="3" xfId="0" applyBorder="1"/>
    <xf numFmtId="165" fontId="0" fillId="0" borderId="3" xfId="0" applyNumberFormat="1" applyBorder="1"/>
    <xf numFmtId="0" fontId="0" fillId="3" borderId="3" xfId="0" applyFill="1" applyBorder="1"/>
    <xf numFmtId="165" fontId="0" fillId="3" borderId="3" xfId="0" applyNumberFormat="1" applyFill="1" applyBorder="1"/>
    <xf numFmtId="0" fontId="0" fillId="4" borderId="0" xfId="0" applyFill="1"/>
    <xf numFmtId="0" fontId="0" fillId="4" borderId="3" xfId="0" applyFill="1" applyBorder="1"/>
    <xf numFmtId="165" fontId="4" fillId="4" borderId="3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0</xdr:rowOff>
    </xdr:from>
    <xdr:to>
      <xdr:col>7</xdr:col>
      <xdr:colOff>775758</xdr:colOff>
      <xdr:row>1</xdr:row>
      <xdr:rowOff>95250</xdr:rowOff>
    </xdr:to>
    <xdr:pic>
      <xdr:nvPicPr>
        <xdr:cNvPr id="2" name="Imagen 1" descr="Forma&#10;&#10;Descripción generada automáticamente">
          <a:extLst>
            <a:ext uri="{FF2B5EF4-FFF2-40B4-BE49-F238E27FC236}">
              <a16:creationId xmlns:a16="http://schemas.microsoft.com/office/drawing/2014/main" id="{947972B8-A5F4-4375-96F3-F85CC4F8C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0"/>
          <a:ext cx="9311216" cy="1857375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0</xdr:row>
      <xdr:rowOff>19050</xdr:rowOff>
    </xdr:from>
    <xdr:to>
      <xdr:col>7</xdr:col>
      <xdr:colOff>9525</xdr:colOff>
      <xdr:row>0</xdr:row>
      <xdr:rowOff>1609725</xdr:rowOff>
    </xdr:to>
    <xdr:sp macro="" textlink="">
      <xdr:nvSpPr>
        <xdr:cNvPr id="3" name="Cuadro de texto 2">
          <a:extLst>
            <a:ext uri="{FF2B5EF4-FFF2-40B4-BE49-F238E27FC236}">
              <a16:creationId xmlns:a16="http://schemas.microsoft.com/office/drawing/2014/main" id="{83DA96A8-CCEF-46FF-925C-E08DD9F6127A}"/>
            </a:ext>
          </a:extLst>
        </xdr:cNvPr>
        <xdr:cNvSpPr txBox="1">
          <a:spLocks noChangeArrowheads="1"/>
        </xdr:cNvSpPr>
      </xdr:nvSpPr>
      <xdr:spPr bwMode="auto">
        <a:xfrm>
          <a:off x="2133600" y="19050"/>
          <a:ext cx="6943725" cy="1590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buNone/>
          </a:pPr>
          <a:r>
            <a:rPr lang="es-PE" sz="1800" b="1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LF MUNAY PERÚ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800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RUC: 20605791124 / Calle: Los Álamos Mz L Lt 5 - Pachacamac.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800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CEL: 946 763 582 / Email: lfmunayperu@gmail.com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9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  <a:tabLst>
              <a:tab pos="4067810" algn="r"/>
            </a:tabLst>
          </a:pPr>
          <a:r>
            <a:rPr lang="es-PE" sz="18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COTIZACIÓN DE SERVICIOS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18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s-PE" sz="1800" b="1">
              <a:solidFill>
                <a:srgbClr val="11AF7E"/>
              </a:solidFill>
              <a:effectLst/>
              <a:latin typeface="Amasis MT Pro Black" panose="02040A04050005020304" pitchFamily="18" charset="0"/>
              <a:ea typeface="Times New Roman" panose="02020603050405020304" pitchFamily="18" charset="0"/>
              <a:cs typeface="Arial" panose="020B0604020202020204" pitchFamily="34" charset="0"/>
            </a:rPr>
            <a:t>MANTENIMIENTO DE CARRETILLAS HIDRAÚLICAS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9525</xdr:colOff>
      <xdr:row>0</xdr:row>
      <xdr:rowOff>228600</xdr:rowOff>
    </xdr:from>
    <xdr:to>
      <xdr:col>4</xdr:col>
      <xdr:colOff>1101090</xdr:colOff>
      <xdr:row>0</xdr:row>
      <xdr:rowOff>1190625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527E1E1E-FB9F-47C0-A28E-F584CE76A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4775" y="228600"/>
          <a:ext cx="1091565" cy="962025"/>
        </a:xfrm>
        <a:prstGeom prst="rect">
          <a:avLst/>
        </a:prstGeom>
      </xdr:spPr>
    </xdr:pic>
    <xdr:clientData/>
  </xdr:twoCellAnchor>
  <xdr:twoCellAnchor>
    <xdr:from>
      <xdr:col>5</xdr:col>
      <xdr:colOff>1171575</xdr:colOff>
      <xdr:row>0</xdr:row>
      <xdr:rowOff>485775</xdr:rowOff>
    </xdr:from>
    <xdr:to>
      <xdr:col>6</xdr:col>
      <xdr:colOff>1152525</xdr:colOff>
      <xdr:row>0</xdr:row>
      <xdr:rowOff>871855</xdr:rowOff>
    </xdr:to>
    <xdr:sp macro="" textlink="">
      <xdr:nvSpPr>
        <xdr:cNvPr id="5" name="Cuadro de texto 2">
          <a:extLst>
            <a:ext uri="{FF2B5EF4-FFF2-40B4-BE49-F238E27FC236}">
              <a16:creationId xmlns:a16="http://schemas.microsoft.com/office/drawing/2014/main" id="{4172B2F0-17F8-4A89-9A4E-08F1C4176717}"/>
            </a:ext>
          </a:extLst>
        </xdr:cNvPr>
        <xdr:cNvSpPr txBox="1">
          <a:spLocks noChangeArrowheads="1"/>
        </xdr:cNvSpPr>
      </xdr:nvSpPr>
      <xdr:spPr bwMode="auto">
        <a:xfrm>
          <a:off x="7620000" y="485775"/>
          <a:ext cx="1190625" cy="386080"/>
        </a:xfrm>
        <a:prstGeom prst="roundRect">
          <a:avLst>
            <a:gd name="adj" fmla="val 41257"/>
          </a:avLst>
        </a:prstGeom>
        <a:solidFill>
          <a:srgbClr val="FFFFFF"/>
        </a:solidFill>
        <a:ln w="38100">
          <a:solidFill>
            <a:srgbClr val="00B05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/>
          <a:r>
            <a:rPr lang="en-US" sz="12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N° 8172-2026</a:t>
          </a:r>
          <a:endParaRPr lang="es-PE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76200</xdr:colOff>
      <xdr:row>1</xdr:row>
      <xdr:rowOff>28574</xdr:rowOff>
    </xdr:from>
    <xdr:to>
      <xdr:col>6</xdr:col>
      <xdr:colOff>1409700</xdr:colOff>
      <xdr:row>2</xdr:row>
      <xdr:rowOff>638175</xdr:rowOff>
    </xdr:to>
    <xdr:sp macro="" textlink="">
      <xdr:nvSpPr>
        <xdr:cNvPr id="6" name="Cuadro de texto 2">
          <a:extLst>
            <a:ext uri="{FF2B5EF4-FFF2-40B4-BE49-F238E27FC236}">
              <a16:creationId xmlns:a16="http://schemas.microsoft.com/office/drawing/2014/main" id="{DC75B52A-806A-43D6-A4F4-96205E2535BE}"/>
            </a:ext>
          </a:extLst>
        </xdr:cNvPr>
        <xdr:cNvSpPr txBox="1">
          <a:spLocks noChangeArrowheads="1"/>
        </xdr:cNvSpPr>
      </xdr:nvSpPr>
      <xdr:spPr bwMode="auto">
        <a:xfrm>
          <a:off x="2162175" y="1790699"/>
          <a:ext cx="6905625" cy="923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buNone/>
          </a:pPr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SEÑORES 	</a:t>
          </a:r>
          <a:r>
            <a:rPr lang="es-PE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TOTTUS</a:t>
          </a:r>
        </a:p>
        <a:p>
          <a:pPr>
            <a:buNone/>
          </a:pPr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Local:</a:t>
          </a:r>
          <a:r>
            <a:rPr lang="es-PE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	COMAS</a:t>
          </a:r>
        </a:p>
        <a:p>
          <a:pPr>
            <a:buNone/>
          </a:pPr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Atención:</a:t>
          </a:r>
          <a:r>
            <a:rPr lang="es-PE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	MANUEL LAGOS</a:t>
          </a:r>
        </a:p>
        <a:p>
          <a:pPr>
            <a:buNone/>
          </a:pP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Nos es grato saludarlo y a la vez presentarle nuestra propuesta la cual se detalla a continuación: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0</xdr:rowOff>
    </xdr:from>
    <xdr:to>
      <xdr:col>8</xdr:col>
      <xdr:colOff>299508</xdr:colOff>
      <xdr:row>1</xdr:row>
      <xdr:rowOff>95250</xdr:rowOff>
    </xdr:to>
    <xdr:pic>
      <xdr:nvPicPr>
        <xdr:cNvPr id="2" name="Imagen 1" descr="Forma&#10;&#10;Descripción generada automáticamente">
          <a:extLst>
            <a:ext uri="{FF2B5EF4-FFF2-40B4-BE49-F238E27FC236}">
              <a16:creationId xmlns:a16="http://schemas.microsoft.com/office/drawing/2014/main" id="{947972B8-A5F4-4375-96F3-F85CC4F8C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0"/>
          <a:ext cx="9310158" cy="1857375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0</xdr:row>
      <xdr:rowOff>19050</xdr:rowOff>
    </xdr:from>
    <xdr:to>
      <xdr:col>7</xdr:col>
      <xdr:colOff>9525</xdr:colOff>
      <xdr:row>0</xdr:row>
      <xdr:rowOff>1609725</xdr:rowOff>
    </xdr:to>
    <xdr:sp macro="" textlink="">
      <xdr:nvSpPr>
        <xdr:cNvPr id="3" name="Cuadro de texto 2">
          <a:extLst>
            <a:ext uri="{FF2B5EF4-FFF2-40B4-BE49-F238E27FC236}">
              <a16:creationId xmlns:a16="http://schemas.microsoft.com/office/drawing/2014/main" id="{83DA96A8-CCEF-46FF-925C-E08DD9F6127A}"/>
            </a:ext>
          </a:extLst>
        </xdr:cNvPr>
        <xdr:cNvSpPr txBox="1">
          <a:spLocks noChangeArrowheads="1"/>
        </xdr:cNvSpPr>
      </xdr:nvSpPr>
      <xdr:spPr bwMode="auto">
        <a:xfrm>
          <a:off x="2133600" y="19050"/>
          <a:ext cx="7143750" cy="1590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buNone/>
          </a:pPr>
          <a:r>
            <a:rPr lang="es-PE" sz="1800" b="1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LF MUNAY PERÚ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800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RUC: 20605791124 / Calle: Los Álamos Mz L Lt 5 - Pachacamac.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800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CEL: 946 763 582 / Email: lfmunayperu@gmail.com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9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  <a:tabLst>
              <a:tab pos="4067810" algn="r"/>
            </a:tabLst>
          </a:pPr>
          <a:r>
            <a:rPr lang="es-PE" sz="18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COTIZACIÓN DE SERVICIOS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18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s-PE" sz="1800" b="1">
              <a:solidFill>
                <a:srgbClr val="11AF7E"/>
              </a:solidFill>
              <a:effectLst/>
              <a:latin typeface="Amasis MT Pro Black" panose="02040A04050005020304" pitchFamily="18" charset="0"/>
              <a:ea typeface="Times New Roman" panose="02020603050405020304" pitchFamily="18" charset="0"/>
              <a:cs typeface="Arial" panose="020B0604020202020204" pitchFamily="34" charset="0"/>
            </a:rPr>
            <a:t>MANTENIMIENTO DE</a:t>
          </a:r>
          <a:r>
            <a:rPr lang="es-PE" sz="1800" b="1" baseline="0">
              <a:solidFill>
                <a:srgbClr val="11AF7E"/>
              </a:solidFill>
              <a:effectLst/>
              <a:latin typeface="Amasis MT Pro Black" panose="02040A04050005020304" pitchFamily="18" charset="0"/>
              <a:ea typeface="Times New Roman" panose="02020603050405020304" pitchFamily="18" charset="0"/>
              <a:cs typeface="Arial" panose="020B0604020202020204" pitchFamily="34" charset="0"/>
            </a:rPr>
            <a:t> ESTRUCTURAS METÁLICAS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9525</xdr:colOff>
      <xdr:row>0</xdr:row>
      <xdr:rowOff>228600</xdr:rowOff>
    </xdr:from>
    <xdr:to>
      <xdr:col>4</xdr:col>
      <xdr:colOff>1101090</xdr:colOff>
      <xdr:row>0</xdr:row>
      <xdr:rowOff>1190625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527E1E1E-FB9F-47C0-A28E-F584CE76A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228600"/>
          <a:ext cx="1091565" cy="962025"/>
        </a:xfrm>
        <a:prstGeom prst="rect">
          <a:avLst/>
        </a:prstGeom>
      </xdr:spPr>
    </xdr:pic>
    <xdr:clientData/>
  </xdr:twoCellAnchor>
  <xdr:twoCellAnchor>
    <xdr:from>
      <xdr:col>5</xdr:col>
      <xdr:colOff>1171575</xdr:colOff>
      <xdr:row>0</xdr:row>
      <xdr:rowOff>485775</xdr:rowOff>
    </xdr:from>
    <xdr:to>
      <xdr:col>6</xdr:col>
      <xdr:colOff>1152525</xdr:colOff>
      <xdr:row>0</xdr:row>
      <xdr:rowOff>871855</xdr:rowOff>
    </xdr:to>
    <xdr:sp macro="" textlink="">
      <xdr:nvSpPr>
        <xdr:cNvPr id="5" name="Cuadro de texto 2">
          <a:extLst>
            <a:ext uri="{FF2B5EF4-FFF2-40B4-BE49-F238E27FC236}">
              <a16:creationId xmlns:a16="http://schemas.microsoft.com/office/drawing/2014/main" id="{4172B2F0-17F8-4A89-9A4E-08F1C4176717}"/>
            </a:ext>
          </a:extLst>
        </xdr:cNvPr>
        <xdr:cNvSpPr txBox="1">
          <a:spLocks noChangeArrowheads="1"/>
        </xdr:cNvSpPr>
      </xdr:nvSpPr>
      <xdr:spPr bwMode="auto">
        <a:xfrm>
          <a:off x="7620000" y="485775"/>
          <a:ext cx="1190625" cy="386080"/>
        </a:xfrm>
        <a:prstGeom prst="roundRect">
          <a:avLst>
            <a:gd name="adj" fmla="val 41257"/>
          </a:avLst>
        </a:prstGeom>
        <a:solidFill>
          <a:srgbClr val="FFFFFF"/>
        </a:solidFill>
        <a:ln w="38100">
          <a:solidFill>
            <a:srgbClr val="00B05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/>
          <a:r>
            <a:rPr lang="en-US" sz="12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N° 8192-2026</a:t>
          </a:r>
          <a:endParaRPr lang="es-PE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76200</xdr:colOff>
      <xdr:row>1</xdr:row>
      <xdr:rowOff>28574</xdr:rowOff>
    </xdr:from>
    <xdr:to>
      <xdr:col>6</xdr:col>
      <xdr:colOff>1409700</xdr:colOff>
      <xdr:row>2</xdr:row>
      <xdr:rowOff>638175</xdr:rowOff>
    </xdr:to>
    <xdr:sp macro="" textlink="">
      <xdr:nvSpPr>
        <xdr:cNvPr id="6" name="Cuadro de texto 2">
          <a:extLst>
            <a:ext uri="{FF2B5EF4-FFF2-40B4-BE49-F238E27FC236}">
              <a16:creationId xmlns:a16="http://schemas.microsoft.com/office/drawing/2014/main" id="{DC75B52A-806A-43D6-A4F4-96205E2535BE}"/>
            </a:ext>
          </a:extLst>
        </xdr:cNvPr>
        <xdr:cNvSpPr txBox="1">
          <a:spLocks noChangeArrowheads="1"/>
        </xdr:cNvSpPr>
      </xdr:nvSpPr>
      <xdr:spPr bwMode="auto">
        <a:xfrm>
          <a:off x="2162175" y="1790699"/>
          <a:ext cx="6905625" cy="923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buNone/>
          </a:pPr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SEÑORES 	</a:t>
          </a:r>
          <a:r>
            <a:rPr lang="es-PE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SERVICIOS COMPARTIDOS DE RESTAURANTES</a:t>
          </a:r>
        </a:p>
        <a:p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Local:</a:t>
          </a:r>
          <a:r>
            <a:rPr lang="es-PE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	ESMERALDA</a:t>
          </a:r>
          <a:endParaRPr lang="en-US" sz="1100" b="1">
            <a:effectLst/>
            <a:latin typeface="Arial" panose="020B060402020202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Atención:</a:t>
          </a:r>
          <a:r>
            <a:rPr lang="es-PE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	RANDOL TINCO</a:t>
          </a:r>
        </a:p>
        <a:p>
          <a:pPr>
            <a:buNone/>
          </a:pP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Nos es grato saludarlo y a la vez presentarle nuestra propuesta la cual se detalla a continuación: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963084</xdr:colOff>
      <xdr:row>4</xdr:row>
      <xdr:rowOff>444500</xdr:rowOff>
    </xdr:from>
    <xdr:to>
      <xdr:col>4</xdr:col>
      <xdr:colOff>2883084</xdr:colOff>
      <xdr:row>4</xdr:row>
      <xdr:rowOff>1884500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8334" y="3429000"/>
          <a:ext cx="1920000" cy="14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2286001</xdr:colOff>
      <xdr:row>5</xdr:row>
      <xdr:rowOff>465666</xdr:rowOff>
    </xdr:from>
    <xdr:to>
      <xdr:col>4</xdr:col>
      <xdr:colOff>3556500</xdr:colOff>
      <xdr:row>5</xdr:row>
      <xdr:rowOff>1653666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22" t="27801" r="27335" b="19282"/>
        <a:stretch/>
      </xdr:blipFill>
      <xdr:spPr>
        <a:xfrm>
          <a:off x="4921251" y="5545666"/>
          <a:ext cx="1270499" cy="1188000"/>
        </a:xfrm>
        <a:prstGeom prst="rect">
          <a:avLst/>
        </a:prstGeom>
      </xdr:spPr>
    </xdr:pic>
    <xdr:clientData/>
  </xdr:twoCellAnchor>
  <xdr:twoCellAnchor editAs="oneCell">
    <xdr:from>
      <xdr:col>4</xdr:col>
      <xdr:colOff>116416</xdr:colOff>
      <xdr:row>5</xdr:row>
      <xdr:rowOff>476248</xdr:rowOff>
    </xdr:from>
    <xdr:to>
      <xdr:col>4</xdr:col>
      <xdr:colOff>1252764</xdr:colOff>
      <xdr:row>5</xdr:row>
      <xdr:rowOff>1664248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741" t="27674" r="26879" b="21615"/>
        <a:stretch/>
      </xdr:blipFill>
      <xdr:spPr>
        <a:xfrm>
          <a:off x="2751666" y="5556248"/>
          <a:ext cx="1136348" cy="1188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1248831</xdr:colOff>
      <xdr:row>5</xdr:row>
      <xdr:rowOff>476247</xdr:rowOff>
    </xdr:from>
    <xdr:to>
      <xdr:col>4</xdr:col>
      <xdr:colOff>2286451</xdr:colOff>
      <xdr:row>5</xdr:row>
      <xdr:rowOff>1664247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787" t="16522" r="29178" b="25417"/>
        <a:stretch/>
      </xdr:blipFill>
      <xdr:spPr>
        <a:xfrm>
          <a:off x="3884081" y="5556247"/>
          <a:ext cx="1037620" cy="118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0</xdr:rowOff>
    </xdr:from>
    <xdr:to>
      <xdr:col>7</xdr:col>
      <xdr:colOff>617008</xdr:colOff>
      <xdr:row>1</xdr:row>
      <xdr:rowOff>95250</xdr:rowOff>
    </xdr:to>
    <xdr:pic>
      <xdr:nvPicPr>
        <xdr:cNvPr id="2" name="Imagen 1" descr="Forma&#10;&#10;Descripción generada automáticamente">
          <a:extLst>
            <a:ext uri="{FF2B5EF4-FFF2-40B4-BE49-F238E27FC236}">
              <a16:creationId xmlns:a16="http://schemas.microsoft.com/office/drawing/2014/main" id="{947972B8-A5F4-4375-96F3-F85CC4F8C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0"/>
          <a:ext cx="9310158" cy="1857375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0</xdr:row>
      <xdr:rowOff>19050</xdr:rowOff>
    </xdr:from>
    <xdr:to>
      <xdr:col>7</xdr:col>
      <xdr:colOff>9525</xdr:colOff>
      <xdr:row>0</xdr:row>
      <xdr:rowOff>1609725</xdr:rowOff>
    </xdr:to>
    <xdr:sp macro="" textlink="">
      <xdr:nvSpPr>
        <xdr:cNvPr id="3" name="Cuadro de texto 2">
          <a:extLst>
            <a:ext uri="{FF2B5EF4-FFF2-40B4-BE49-F238E27FC236}">
              <a16:creationId xmlns:a16="http://schemas.microsoft.com/office/drawing/2014/main" id="{83DA96A8-CCEF-46FF-925C-E08DD9F6127A}"/>
            </a:ext>
          </a:extLst>
        </xdr:cNvPr>
        <xdr:cNvSpPr txBox="1">
          <a:spLocks noChangeArrowheads="1"/>
        </xdr:cNvSpPr>
      </xdr:nvSpPr>
      <xdr:spPr bwMode="auto">
        <a:xfrm>
          <a:off x="2133600" y="19050"/>
          <a:ext cx="7143750" cy="1590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buNone/>
          </a:pPr>
          <a:r>
            <a:rPr lang="es-PE" sz="1800" b="1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LF MUNAY PERÚ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800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RUC: 20605791124 / Calle: Los Álamos Mz L Lt 5 - Pachacamac.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800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CEL: 946 763 582 / Email: lfmunayperu@gmail.com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9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  <a:tabLst>
              <a:tab pos="4067810" algn="r"/>
            </a:tabLst>
          </a:pPr>
          <a:r>
            <a:rPr lang="es-PE" sz="18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COTIZACIÓN DE SERVICIOS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18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s-PE" sz="1800" b="1">
              <a:solidFill>
                <a:srgbClr val="11AF7E"/>
              </a:solidFill>
              <a:effectLst/>
              <a:latin typeface="Amasis MT Pro Black" panose="02040A04050005020304" pitchFamily="18" charset="0"/>
              <a:ea typeface="Times New Roman" panose="02020603050405020304" pitchFamily="18" charset="0"/>
              <a:cs typeface="Arial" panose="020B0604020202020204" pitchFamily="34" charset="0"/>
            </a:rPr>
            <a:t>BALANZAS</a:t>
          </a:r>
          <a:r>
            <a:rPr lang="es-PE" sz="1800" b="1" baseline="0">
              <a:solidFill>
                <a:srgbClr val="11AF7E"/>
              </a:solidFill>
              <a:effectLst/>
              <a:latin typeface="Amasis MT Pro Black" panose="02040A04050005020304" pitchFamily="18" charset="0"/>
              <a:ea typeface="Times New Roman" panose="02020603050405020304" pitchFamily="18" charset="0"/>
              <a:cs typeface="Arial" panose="020B0604020202020204" pitchFamily="34" charset="0"/>
            </a:rPr>
            <a:t> INDUSTRIALES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9525</xdr:colOff>
      <xdr:row>0</xdr:row>
      <xdr:rowOff>228600</xdr:rowOff>
    </xdr:from>
    <xdr:to>
      <xdr:col>4</xdr:col>
      <xdr:colOff>1101090</xdr:colOff>
      <xdr:row>0</xdr:row>
      <xdr:rowOff>1190625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527E1E1E-FB9F-47C0-A28E-F584CE76A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228600"/>
          <a:ext cx="1091565" cy="962025"/>
        </a:xfrm>
        <a:prstGeom prst="rect">
          <a:avLst/>
        </a:prstGeom>
      </xdr:spPr>
    </xdr:pic>
    <xdr:clientData/>
  </xdr:twoCellAnchor>
  <xdr:twoCellAnchor>
    <xdr:from>
      <xdr:col>5</xdr:col>
      <xdr:colOff>1171575</xdr:colOff>
      <xdr:row>0</xdr:row>
      <xdr:rowOff>485775</xdr:rowOff>
    </xdr:from>
    <xdr:to>
      <xdr:col>6</xdr:col>
      <xdr:colOff>1152525</xdr:colOff>
      <xdr:row>0</xdr:row>
      <xdr:rowOff>871855</xdr:rowOff>
    </xdr:to>
    <xdr:sp macro="" textlink="">
      <xdr:nvSpPr>
        <xdr:cNvPr id="5" name="Cuadro de texto 2">
          <a:extLst>
            <a:ext uri="{FF2B5EF4-FFF2-40B4-BE49-F238E27FC236}">
              <a16:creationId xmlns:a16="http://schemas.microsoft.com/office/drawing/2014/main" id="{4172B2F0-17F8-4A89-9A4E-08F1C4176717}"/>
            </a:ext>
          </a:extLst>
        </xdr:cNvPr>
        <xdr:cNvSpPr txBox="1">
          <a:spLocks noChangeArrowheads="1"/>
        </xdr:cNvSpPr>
      </xdr:nvSpPr>
      <xdr:spPr bwMode="auto">
        <a:xfrm>
          <a:off x="7620000" y="485775"/>
          <a:ext cx="1190625" cy="386080"/>
        </a:xfrm>
        <a:prstGeom prst="roundRect">
          <a:avLst>
            <a:gd name="adj" fmla="val 41257"/>
          </a:avLst>
        </a:prstGeom>
        <a:solidFill>
          <a:srgbClr val="FFFFFF"/>
        </a:solidFill>
        <a:ln w="38100">
          <a:solidFill>
            <a:srgbClr val="00B05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/>
          <a:r>
            <a:rPr lang="en-US" sz="12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N° 8211-2026</a:t>
          </a:r>
          <a:endParaRPr lang="es-PE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76200</xdr:colOff>
      <xdr:row>1</xdr:row>
      <xdr:rowOff>28574</xdr:rowOff>
    </xdr:from>
    <xdr:to>
      <xdr:col>6</xdr:col>
      <xdr:colOff>1409700</xdr:colOff>
      <xdr:row>2</xdr:row>
      <xdr:rowOff>638175</xdr:rowOff>
    </xdr:to>
    <xdr:sp macro="" textlink="">
      <xdr:nvSpPr>
        <xdr:cNvPr id="6" name="Cuadro de texto 2">
          <a:extLst>
            <a:ext uri="{FF2B5EF4-FFF2-40B4-BE49-F238E27FC236}">
              <a16:creationId xmlns:a16="http://schemas.microsoft.com/office/drawing/2014/main" id="{DC75B52A-806A-43D6-A4F4-96205E2535BE}"/>
            </a:ext>
          </a:extLst>
        </xdr:cNvPr>
        <xdr:cNvSpPr txBox="1">
          <a:spLocks noChangeArrowheads="1"/>
        </xdr:cNvSpPr>
      </xdr:nvSpPr>
      <xdr:spPr bwMode="auto">
        <a:xfrm>
          <a:off x="2162175" y="1790699"/>
          <a:ext cx="6905625" cy="923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buNone/>
          </a:pPr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SEÑORES 	</a:t>
          </a:r>
          <a:r>
            <a:rPr lang="es-PE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TOTTUS</a:t>
          </a:r>
        </a:p>
        <a:p>
          <a:pPr>
            <a:buNone/>
          </a:pPr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Local:</a:t>
          </a:r>
          <a:r>
            <a:rPr lang="es-PE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	CUSCO</a:t>
          </a:r>
        </a:p>
        <a:p>
          <a:pPr>
            <a:buNone/>
          </a:pPr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Atención:</a:t>
          </a:r>
          <a:r>
            <a:rPr lang="es-PE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	Pascual Johnny Inquillay Alegre</a:t>
          </a:r>
        </a:p>
        <a:p>
          <a:pPr>
            <a:buNone/>
          </a:pP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Nos es grato saludarlo y a la vez presentarle nuestra propuesta la cual se detalla a continuación: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19"/>
  <sheetViews>
    <sheetView zoomScale="90" zoomScaleNormal="90" workbookViewId="0">
      <selection activeCell="B7" sqref="B7"/>
    </sheetView>
  </sheetViews>
  <sheetFormatPr baseColWidth="10" defaultColWidth="12.5703125" defaultRowHeight="15"/>
  <cols>
    <col min="2" max="2" width="18.7109375" customWidth="1"/>
    <col min="3" max="3" width="3" bestFit="1" customWidth="1"/>
    <col min="4" max="4" width="5.28515625" bestFit="1" customWidth="1"/>
    <col min="5" max="5" width="57.140625" customWidth="1"/>
    <col min="6" max="6" width="18.140625" customWidth="1"/>
    <col min="7" max="7" width="29.5703125" customWidth="1"/>
  </cols>
  <sheetData>
    <row r="1" spans="3:8" ht="138.75" customHeight="1"/>
    <row r="2" spans="3:8" ht="24.75" customHeight="1">
      <c r="G2" s="1">
        <f ca="1">TODAY()</f>
        <v>46278</v>
      </c>
    </row>
    <row r="3" spans="3:8" ht="55.5" customHeight="1"/>
    <row r="4" spans="3:8">
      <c r="C4" s="2" t="s">
        <v>0</v>
      </c>
      <c r="D4" s="2" t="s">
        <v>1</v>
      </c>
      <c r="E4" s="3" t="s">
        <v>2</v>
      </c>
      <c r="F4" s="3" t="s">
        <v>3</v>
      </c>
      <c r="G4" s="4" t="s">
        <v>4</v>
      </c>
    </row>
    <row r="5" spans="3:8" ht="42.75">
      <c r="C5" s="5">
        <v>1</v>
      </c>
      <c r="D5" s="5">
        <v>4</v>
      </c>
      <c r="E5" s="23" t="s">
        <v>5</v>
      </c>
      <c r="F5" s="24">
        <v>250</v>
      </c>
      <c r="G5" s="6">
        <f t="shared" ref="G5:G8" si="0">D5*F5</f>
        <v>1000</v>
      </c>
    </row>
    <row r="6" spans="3:8">
      <c r="C6" s="5">
        <v>2</v>
      </c>
      <c r="D6" s="5">
        <v>4</v>
      </c>
      <c r="E6" s="23" t="s">
        <v>15</v>
      </c>
      <c r="F6" s="24">
        <v>29</v>
      </c>
      <c r="G6" s="6">
        <f t="shared" si="0"/>
        <v>116</v>
      </c>
    </row>
    <row r="7" spans="3:8">
      <c r="C7" s="5">
        <v>3</v>
      </c>
      <c r="D7" s="5">
        <v>2</v>
      </c>
      <c r="E7" s="23" t="s">
        <v>16</v>
      </c>
      <c r="F7" s="24">
        <v>55</v>
      </c>
      <c r="G7" s="6">
        <f t="shared" si="0"/>
        <v>110</v>
      </c>
    </row>
    <row r="8" spans="3:8">
      <c r="C8" s="5">
        <v>4</v>
      </c>
      <c r="D8" s="5">
        <v>4</v>
      </c>
      <c r="E8" s="23" t="s">
        <v>17</v>
      </c>
      <c r="F8" s="24">
        <v>15</v>
      </c>
      <c r="G8" s="6">
        <f t="shared" si="0"/>
        <v>60</v>
      </c>
    </row>
    <row r="9" spans="3:8">
      <c r="C9" s="7"/>
      <c r="D9" s="8"/>
      <c r="E9" s="9"/>
      <c r="F9" s="10" t="s">
        <v>6</v>
      </c>
      <c r="G9" s="11">
        <f>SUM(G5:G8)</f>
        <v>1286</v>
      </c>
    </row>
    <row r="10" spans="3:8">
      <c r="C10" s="12"/>
      <c r="D10" s="13"/>
      <c r="E10" s="14"/>
      <c r="F10" s="15" t="s">
        <v>7</v>
      </c>
      <c r="G10" s="6">
        <f>G9*0.18</f>
        <v>231.48</v>
      </c>
    </row>
    <row r="11" spans="3:8">
      <c r="C11" s="16"/>
      <c r="D11" s="17"/>
      <c r="E11" s="18"/>
      <c r="F11" s="19" t="s">
        <v>8</v>
      </c>
      <c r="G11" s="6">
        <f>SUM(G9:G10)</f>
        <v>1517.48</v>
      </c>
    </row>
    <row r="12" spans="3:8">
      <c r="H12" s="20"/>
    </row>
    <row r="13" spans="3:8">
      <c r="E13" s="21"/>
      <c r="F13" s="22"/>
    </row>
    <row r="14" spans="3:8">
      <c r="E14" t="s">
        <v>9</v>
      </c>
    </row>
    <row r="15" spans="3:8">
      <c r="E15" t="s">
        <v>10</v>
      </c>
    </row>
    <row r="16" spans="3:8">
      <c r="E16" t="s">
        <v>11</v>
      </c>
    </row>
    <row r="17" spans="5:5">
      <c r="E17" t="s">
        <v>12</v>
      </c>
    </row>
    <row r="18" spans="5:5">
      <c r="E18" t="s">
        <v>13</v>
      </c>
    </row>
    <row r="19" spans="5:5">
      <c r="E19" t="s">
        <v>14</v>
      </c>
    </row>
  </sheetData>
  <printOptions horizontalCentered="1" verticalCentered="1"/>
  <pageMargins left="0" right="0" top="0" bottom="0" header="0" footer="0"/>
  <pageSetup paperSize="9" scale="130" fitToHeight="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17"/>
  <sheetViews>
    <sheetView topLeftCell="A4" zoomScale="90" zoomScaleNormal="90" workbookViewId="0">
      <selection activeCell="G9" sqref="C1:G9"/>
    </sheetView>
  </sheetViews>
  <sheetFormatPr baseColWidth="10" defaultColWidth="12.5703125" defaultRowHeight="15"/>
  <cols>
    <col min="2" max="2" width="18.7109375" customWidth="1"/>
    <col min="3" max="3" width="3" bestFit="1" customWidth="1"/>
    <col min="4" max="4" width="5.28515625" bestFit="1" customWidth="1"/>
    <col min="5" max="5" width="57.140625" customWidth="1"/>
    <col min="6" max="6" width="18.140625" customWidth="1"/>
    <col min="7" max="7" width="24.140625" customWidth="1"/>
  </cols>
  <sheetData>
    <row r="1" spans="3:8" ht="138.75" customHeight="1"/>
    <row r="2" spans="3:8" ht="24.75" customHeight="1">
      <c r="G2" s="1">
        <f ca="1">TODAY()</f>
        <v>46278</v>
      </c>
    </row>
    <row r="3" spans="3:8" ht="55.5" customHeight="1"/>
    <row r="4" spans="3:8">
      <c r="C4" s="2" t="s">
        <v>0</v>
      </c>
      <c r="D4" s="2" t="s">
        <v>1</v>
      </c>
      <c r="E4" s="3" t="s">
        <v>2</v>
      </c>
      <c r="F4" s="3" t="s">
        <v>3</v>
      </c>
      <c r="G4" s="4" t="s">
        <v>4</v>
      </c>
    </row>
    <row r="5" spans="3:8" ht="156.75" customHeight="1">
      <c r="C5" s="5">
        <v>1</v>
      </c>
      <c r="D5" s="5">
        <v>1</v>
      </c>
      <c r="E5" s="25" t="s">
        <v>18</v>
      </c>
      <c r="F5" s="24">
        <v>1290</v>
      </c>
      <c r="G5" s="6">
        <f t="shared" ref="G5" si="0">D5*F5</f>
        <v>1290</v>
      </c>
    </row>
    <row r="6" spans="3:8" ht="142.5" customHeight="1">
      <c r="C6" s="5">
        <v>2</v>
      </c>
      <c r="D6" s="5">
        <v>1</v>
      </c>
      <c r="E6" s="25" t="s">
        <v>19</v>
      </c>
      <c r="F6" s="24">
        <v>490</v>
      </c>
      <c r="G6" s="6">
        <f>D6*F6</f>
        <v>490</v>
      </c>
    </row>
    <row r="7" spans="3:8">
      <c r="C7" s="7"/>
      <c r="D7" s="8"/>
      <c r="E7" s="9"/>
      <c r="F7" s="10" t="s">
        <v>6</v>
      </c>
      <c r="G7" s="11">
        <f>SUM(G5:G6)</f>
        <v>1780</v>
      </c>
    </row>
    <row r="8" spans="3:8">
      <c r="C8" s="12"/>
      <c r="D8" s="13"/>
      <c r="E8" s="14"/>
      <c r="F8" s="15" t="s">
        <v>7</v>
      </c>
      <c r="G8" s="6">
        <f>G7*0.18</f>
        <v>320.39999999999998</v>
      </c>
    </row>
    <row r="9" spans="3:8">
      <c r="C9" s="16"/>
      <c r="D9" s="17"/>
      <c r="E9" s="18"/>
      <c r="F9" s="19" t="s">
        <v>8</v>
      </c>
      <c r="G9" s="6">
        <f>SUM(G7:G8)</f>
        <v>2100.4</v>
      </c>
    </row>
    <row r="10" spans="3:8">
      <c r="H10" s="20"/>
    </row>
    <row r="11" spans="3:8">
      <c r="E11" s="21"/>
      <c r="F11" s="22"/>
    </row>
    <row r="12" spans="3:8">
      <c r="E12" t="s">
        <v>9</v>
      </c>
    </row>
    <row r="13" spans="3:8">
      <c r="E13" t="s">
        <v>10</v>
      </c>
    </row>
    <row r="14" spans="3:8">
      <c r="E14" t="s">
        <v>11</v>
      </c>
    </row>
    <row r="15" spans="3:8">
      <c r="E15" t="s">
        <v>12</v>
      </c>
    </row>
    <row r="16" spans="3:8">
      <c r="E16" t="s">
        <v>13</v>
      </c>
    </row>
    <row r="17" spans="5:5">
      <c r="E17" t="s">
        <v>14</v>
      </c>
    </row>
  </sheetData>
  <printOptions horizontalCentered="1" verticalCentered="1"/>
  <pageMargins left="0" right="0" top="0" bottom="0" header="0" footer="0"/>
  <pageSetup paperSize="9" scale="86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5"/>
  <sheetViews>
    <sheetView tabSelected="1" zoomScale="90" zoomScaleNormal="90" workbookViewId="0">
      <selection activeCell="J4" sqref="J4"/>
    </sheetView>
  </sheetViews>
  <sheetFormatPr baseColWidth="10" defaultColWidth="12.5703125" defaultRowHeight="15"/>
  <cols>
    <col min="2" max="2" width="21.85546875" bestFit="1" customWidth="1"/>
    <col min="3" max="3" width="3" bestFit="1" customWidth="1"/>
    <col min="4" max="4" width="5.28515625" bestFit="1" customWidth="1"/>
    <col min="5" max="5" width="57.140625" customWidth="1"/>
    <col min="6" max="6" width="18.140625" customWidth="1"/>
    <col min="7" max="7" width="28.7109375" customWidth="1"/>
    <col min="10" max="10" width="15" bestFit="1" customWidth="1"/>
  </cols>
  <sheetData>
    <row r="1" spans="3:15" ht="138.75" customHeight="1">
      <c r="J1" t="s">
        <v>41</v>
      </c>
    </row>
    <row r="2" spans="3:15" ht="24.75" customHeight="1">
      <c r="G2" s="1">
        <f ca="1">TODAY()</f>
        <v>46278</v>
      </c>
    </row>
    <row r="3" spans="3:15" ht="55.5" customHeight="1"/>
    <row r="4" spans="3:15">
      <c r="C4" s="2" t="s">
        <v>0</v>
      </c>
      <c r="D4" s="2" t="s">
        <v>1</v>
      </c>
      <c r="E4" s="3" t="s">
        <v>2</v>
      </c>
      <c r="F4" s="3" t="s">
        <v>3</v>
      </c>
      <c r="G4" s="4" t="s">
        <v>4</v>
      </c>
    </row>
    <row r="5" spans="3:15" ht="128.25">
      <c r="C5" s="5">
        <v>1</v>
      </c>
      <c r="D5" s="5">
        <v>1</v>
      </c>
      <c r="E5" s="23" t="s">
        <v>42</v>
      </c>
      <c r="F5" s="24">
        <f>G25</f>
        <v>544</v>
      </c>
      <c r="G5" s="6">
        <f t="shared" ref="G5" si="0">D5*F5</f>
        <v>544</v>
      </c>
    </row>
    <row r="6" spans="3:15">
      <c r="C6" s="7"/>
      <c r="D6" s="8"/>
      <c r="E6" s="9"/>
      <c r="F6" s="10" t="s">
        <v>6</v>
      </c>
      <c r="G6" s="11">
        <f>SUM(G5:G5)</f>
        <v>544</v>
      </c>
    </row>
    <row r="7" spans="3:15">
      <c r="C7" s="12"/>
      <c r="D7" s="13"/>
      <c r="E7" s="14"/>
      <c r="F7" s="15" t="s">
        <v>7</v>
      </c>
      <c r="G7" s="6">
        <f>G6*0.18</f>
        <v>97.92</v>
      </c>
    </row>
    <row r="8" spans="3:15">
      <c r="C8" s="16"/>
      <c r="D8" s="17"/>
      <c r="E8" s="18"/>
      <c r="F8" s="19" t="s">
        <v>8</v>
      </c>
      <c r="G8" s="6">
        <f>SUM(G6:G7)</f>
        <v>641.91999999999996</v>
      </c>
    </row>
    <row r="9" spans="3:15">
      <c r="H9" s="20"/>
    </row>
    <row r="11" spans="3:15">
      <c r="I11" t="s">
        <v>25</v>
      </c>
    </row>
    <row r="12" spans="3:15">
      <c r="D12" s="26">
        <v>1</v>
      </c>
      <c r="E12" s="26" t="s">
        <v>39</v>
      </c>
      <c r="F12" s="6">
        <v>50</v>
      </c>
      <c r="G12" s="20">
        <f>F12*D12</f>
        <v>50</v>
      </c>
      <c r="I12" s="28" t="s">
        <v>36</v>
      </c>
      <c r="J12" s="28"/>
      <c r="K12" s="28"/>
      <c r="L12" s="28" t="s">
        <v>37</v>
      </c>
      <c r="M12" s="28"/>
      <c r="N12" s="28"/>
      <c r="O12" s="28"/>
    </row>
    <row r="13" spans="3:15">
      <c r="D13" s="26">
        <v>1</v>
      </c>
      <c r="E13" s="23" t="s">
        <v>20</v>
      </c>
      <c r="F13" s="6"/>
      <c r="G13" s="20">
        <f t="shared" ref="G13:G21" si="1">F13*D13</f>
        <v>0</v>
      </c>
      <c r="I13" t="s">
        <v>29</v>
      </c>
    </row>
    <row r="14" spans="3:15">
      <c r="D14" s="26">
        <v>2</v>
      </c>
      <c r="E14" s="26" t="s">
        <v>24</v>
      </c>
      <c r="F14" s="6"/>
      <c r="G14" s="20">
        <f t="shared" si="1"/>
        <v>0</v>
      </c>
      <c r="I14" t="s">
        <v>28</v>
      </c>
    </row>
    <row r="15" spans="3:15">
      <c r="D15" s="26">
        <v>1</v>
      </c>
      <c r="E15" s="26" t="s">
        <v>21</v>
      </c>
      <c r="F15" s="6"/>
      <c r="G15" s="20">
        <f t="shared" si="1"/>
        <v>0</v>
      </c>
    </row>
    <row r="16" spans="3:15">
      <c r="D16" s="26">
        <v>6</v>
      </c>
      <c r="E16" s="26" t="s">
        <v>22</v>
      </c>
      <c r="F16" s="6">
        <v>10</v>
      </c>
      <c r="G16" s="20">
        <f t="shared" si="1"/>
        <v>60</v>
      </c>
    </row>
    <row r="17" spans="2:7">
      <c r="C17" s="30"/>
      <c r="D17" s="31"/>
      <c r="E17" s="31" t="s">
        <v>26</v>
      </c>
      <c r="F17" s="32"/>
      <c r="G17" s="20">
        <f t="shared" si="1"/>
        <v>0</v>
      </c>
    </row>
    <row r="18" spans="2:7">
      <c r="B18" s="30" t="s">
        <v>40</v>
      </c>
      <c r="C18" s="30"/>
      <c r="D18" s="31"/>
      <c r="E18" s="31" t="s">
        <v>27</v>
      </c>
      <c r="F18" s="32">
        <v>30</v>
      </c>
      <c r="G18" s="20">
        <f t="shared" si="1"/>
        <v>0</v>
      </c>
    </row>
    <row r="19" spans="2:7">
      <c r="C19" s="30"/>
      <c r="D19" s="31">
        <v>2</v>
      </c>
      <c r="E19" s="31" t="s">
        <v>32</v>
      </c>
      <c r="F19" s="32">
        <v>100</v>
      </c>
      <c r="G19" s="20">
        <f t="shared" si="1"/>
        <v>200</v>
      </c>
    </row>
    <row r="20" spans="2:7">
      <c r="D20" s="26">
        <v>1</v>
      </c>
      <c r="E20" s="26" t="s">
        <v>23</v>
      </c>
      <c r="F20" s="6"/>
      <c r="G20" s="20">
        <f t="shared" si="1"/>
        <v>0</v>
      </c>
    </row>
    <row r="21" spans="2:7">
      <c r="D21" s="26">
        <v>6</v>
      </c>
      <c r="E21" s="26" t="s">
        <v>30</v>
      </c>
      <c r="F21" s="6">
        <v>5</v>
      </c>
      <c r="G21" s="20">
        <f t="shared" si="1"/>
        <v>30</v>
      </c>
    </row>
    <row r="22" spans="2:7">
      <c r="B22" s="26" t="s">
        <v>33</v>
      </c>
      <c r="D22" s="26"/>
      <c r="E22" s="26" t="s">
        <v>31</v>
      </c>
      <c r="F22" s="26"/>
      <c r="G22" s="20">
        <f>F22*D22</f>
        <v>0</v>
      </c>
    </row>
    <row r="23" spans="2:7">
      <c r="D23" s="26"/>
      <c r="E23" s="26" t="s">
        <v>34</v>
      </c>
      <c r="F23" s="27">
        <f>SUM(F12:F22)</f>
        <v>195</v>
      </c>
      <c r="G23" s="27">
        <f>SUM(G12:G22)</f>
        <v>340</v>
      </c>
    </row>
    <row r="24" spans="2:7">
      <c r="D24" s="26"/>
      <c r="E24" s="26" t="s">
        <v>35</v>
      </c>
      <c r="F24" s="27">
        <f>F23*0.6</f>
        <v>117</v>
      </c>
      <c r="G24" s="27">
        <f>G23*0.6</f>
        <v>204</v>
      </c>
    </row>
    <row r="25" spans="2:7">
      <c r="D25" s="26"/>
      <c r="E25" s="28" t="s">
        <v>38</v>
      </c>
      <c r="F25" s="27">
        <f>SUM(F23:F24)</f>
        <v>312</v>
      </c>
      <c r="G25" s="29">
        <f>SUM(G23:G24)</f>
        <v>544</v>
      </c>
    </row>
  </sheetData>
  <printOptions horizontalCentered="1" verticalCentered="1"/>
  <pageMargins left="0" right="0" top="0" bottom="0" header="0" footer="0"/>
  <pageSetup paperSize="9" scale="130" fitToHeight="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Hoja2 (53)</vt:lpstr>
      <vt:lpstr>Hoja2 (54)</vt:lpstr>
      <vt:lpstr>Hoja2 (55)</vt:lpstr>
      <vt:lpstr>'Hoja2 (53)'!_Hlk192102434</vt:lpstr>
      <vt:lpstr>'Hoja2 (54)'!_Hlk192102434</vt:lpstr>
      <vt:lpstr>'Hoja2 (55)'!_Hlk192102434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MUNAY PERU</dc:creator>
  <cp:lastModifiedBy>CASA</cp:lastModifiedBy>
  <cp:lastPrinted>2026-08-21T02:58:39Z</cp:lastPrinted>
  <dcterms:created xsi:type="dcterms:W3CDTF">2026-08-08T16:03:12Z</dcterms:created>
  <dcterms:modified xsi:type="dcterms:W3CDTF">2026-09-13T19:28:26Z</dcterms:modified>
</cp:coreProperties>
</file>